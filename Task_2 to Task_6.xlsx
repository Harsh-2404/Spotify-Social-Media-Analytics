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C:\Users\HARSH PC\Downloads\"/>
    </mc:Choice>
  </mc:AlternateContent>
  <xr:revisionPtr revIDLastSave="0" documentId="13_ncr:1_{9F36158B-D09E-4C68-9A03-247B733C8896}" xr6:coauthVersionLast="47" xr6:coauthVersionMax="47" xr10:uidLastSave="{00000000-0000-0000-0000-000000000000}"/>
  <bookViews>
    <workbookView xWindow="-108" yWindow="-108" windowWidth="23256" windowHeight="12456" firstSheet="6" activeTab="9" xr2:uid="{F1EBB495-5465-4D59-B2DC-A4CD0B22B214}"/>
  </bookViews>
  <sheets>
    <sheet name="Posts" sheetId="2" r:id="rId1"/>
    <sheet name="Engagement Summary" sheetId="3" r:id="rId2"/>
    <sheet name="Campaign Metadata" sheetId="11" r:id="rId3"/>
    <sheet name="Hashtag_Master" sheetId="7" r:id="rId4"/>
    <sheet name="Task_2_Analysis" sheetId="4" r:id="rId5"/>
    <sheet name="Task_2_Engagement_Rate" sheetId="14" r:id="rId6"/>
    <sheet name="All_Task_3_Analysis" sheetId="5" r:id="rId7"/>
    <sheet name="All_Task_4_Analysis" sheetId="6" r:id="rId8"/>
    <sheet name="All_Task_5_Analysis" sheetId="10" r:id="rId9"/>
    <sheet name="All_Task_6_Analysis" sheetId="13" r:id="rId10"/>
  </sheets>
  <definedNames>
    <definedName name="_xlnm._FilterDatabase" localSheetId="1" hidden="1">'Engagement Summary'!$A$1:$I$201</definedName>
    <definedName name="_xlnm._FilterDatabase" localSheetId="3" hidden="1">Hashtag_Master!$A$1:$C$601</definedName>
    <definedName name="_xlnm._FilterDatabase" localSheetId="0" hidden="1">Posts!$A$1:$O$301</definedName>
    <definedName name="ExternalData_1" localSheetId="2" hidden="1">'Campaign Metadata'!$A$1:$G$5</definedName>
  </definedNames>
  <calcPr calcId="191029"/>
  <pivotCaches>
    <pivotCache cacheId="0" r:id="rId11"/>
    <pivotCache cacheId="1" r:id="rId12"/>
    <pivotCache cacheId="2" r:id="rId13"/>
    <pivotCache cacheId="3"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0" l="1"/>
  <c r="I5" i="10"/>
  <c r="I6" i="10"/>
  <c r="I3" i="10"/>
  <c r="H4" i="10"/>
  <c r="H5" i="10"/>
  <c r="H6" i="10"/>
  <c r="H3" i="10"/>
  <c r="G4" i="10"/>
  <c r="G5" i="10"/>
  <c r="G6" i="10"/>
  <c r="G3" i="10"/>
  <c r="F4" i="10"/>
  <c r="F5" i="10"/>
  <c r="F6" i="10"/>
  <c r="F3" i="10"/>
  <c r="E4" i="10"/>
  <c r="E5" i="10"/>
  <c r="E6" i="10"/>
  <c r="E3" i="10"/>
  <c r="D4" i="10"/>
  <c r="D5" i="10"/>
  <c r="D6" i="10"/>
  <c r="D3" i="10"/>
  <c r="D43" i="10"/>
  <c r="I66" i="10"/>
  <c r="I67" i="10"/>
  <c r="I68" i="10"/>
  <c r="I65" i="10"/>
  <c r="G66" i="10"/>
  <c r="G67" i="10"/>
  <c r="G68" i="10"/>
  <c r="G65" i="10"/>
  <c r="F66" i="10"/>
  <c r="F67" i="10"/>
  <c r="F68" i="10"/>
  <c r="E66" i="10"/>
  <c r="E67" i="10"/>
  <c r="E68" i="10"/>
  <c r="F65" i="10"/>
  <c r="E65" i="10"/>
  <c r="D66" i="10"/>
  <c r="D67" i="10"/>
  <c r="D68" i="10"/>
  <c r="D65" i="10"/>
  <c r="E44" i="10"/>
  <c r="E45" i="10"/>
  <c r="E46" i="10"/>
  <c r="E43" i="10"/>
  <c r="D44" i="10"/>
  <c r="D45" i="10"/>
  <c r="D46" i="10"/>
  <c r="C82" i="13"/>
  <c r="E160" i="13"/>
  <c r="C146" i="13"/>
  <c r="C90" i="13"/>
  <c r="C89" i="13"/>
  <c r="C83" i="13"/>
  <c r="C84" i="13"/>
  <c r="C85" i="13"/>
  <c r="C86" i="13"/>
  <c r="C87" i="13"/>
  <c r="C88" i="13"/>
  <c r="C91" i="13"/>
  <c r="C92" i="13"/>
  <c r="C93" i="13"/>
  <c r="C94" i="13"/>
  <c r="C95" i="13"/>
  <c r="C96" i="13"/>
  <c r="C97" i="13"/>
  <c r="C98" i="13"/>
  <c r="C99" i="13"/>
  <c r="C100" i="13"/>
  <c r="C101" i="13"/>
  <c r="C102" i="13"/>
  <c r="C103" i="13"/>
  <c r="C104" i="13"/>
  <c r="C105" i="13"/>
  <c r="C106" i="13"/>
  <c r="C107" i="13"/>
  <c r="C108" i="13"/>
  <c r="C109" i="13"/>
  <c r="C110" i="13"/>
  <c r="C111" i="13"/>
  <c r="C112"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78" i="4"/>
  <c r="C77" i="4"/>
  <c r="C76" i="4"/>
  <c r="C74" i="4"/>
  <c r="C75" i="4"/>
  <c r="H3" i="3"/>
  <c r="I3" i="3" s="1"/>
  <c r="H4" i="3"/>
  <c r="I4" i="3" s="1"/>
  <c r="H5" i="3"/>
  <c r="I5" i="3" s="1"/>
  <c r="H6" i="3"/>
  <c r="I6" i="3" s="1"/>
  <c r="H7" i="3"/>
  <c r="I7" i="3" s="1"/>
  <c r="H8" i="3"/>
  <c r="I8" i="3" s="1"/>
  <c r="H9" i="3"/>
  <c r="I9" i="3" s="1"/>
  <c r="H10" i="3"/>
  <c r="I10" i="3" s="1"/>
  <c r="H11" i="3"/>
  <c r="I11" i="3" s="1"/>
  <c r="H12" i="3"/>
  <c r="I12" i="3" s="1"/>
  <c r="H13" i="3"/>
  <c r="I13" i="3" s="1"/>
  <c r="H14" i="3"/>
  <c r="I14" i="3" s="1"/>
  <c r="H15" i="3"/>
  <c r="I15" i="3" s="1"/>
  <c r="H16" i="3"/>
  <c r="I16" i="3" s="1"/>
  <c r="H17" i="3"/>
  <c r="I17" i="3" s="1"/>
  <c r="H18" i="3"/>
  <c r="I18" i="3" s="1"/>
  <c r="H19" i="3"/>
  <c r="I19" i="3" s="1"/>
  <c r="H20" i="3"/>
  <c r="I20" i="3" s="1"/>
  <c r="H21" i="3"/>
  <c r="I21" i="3" s="1"/>
  <c r="H22" i="3"/>
  <c r="I22" i="3" s="1"/>
  <c r="H23" i="3"/>
  <c r="I23" i="3" s="1"/>
  <c r="H24" i="3"/>
  <c r="I24" i="3" s="1"/>
  <c r="H25" i="3"/>
  <c r="I25" i="3" s="1"/>
  <c r="H26" i="3"/>
  <c r="I26" i="3" s="1"/>
  <c r="H27" i="3"/>
  <c r="I27" i="3" s="1"/>
  <c r="H28" i="3"/>
  <c r="I28" i="3" s="1"/>
  <c r="H29" i="3"/>
  <c r="I29" i="3" s="1"/>
  <c r="H30" i="3"/>
  <c r="I30" i="3" s="1"/>
  <c r="H31" i="3"/>
  <c r="I31" i="3" s="1"/>
  <c r="H32" i="3"/>
  <c r="I32" i="3" s="1"/>
  <c r="H33" i="3"/>
  <c r="I33" i="3" s="1"/>
  <c r="H34" i="3"/>
  <c r="I34" i="3" s="1"/>
  <c r="H35" i="3"/>
  <c r="I35" i="3" s="1"/>
  <c r="H36" i="3"/>
  <c r="I36" i="3" s="1"/>
  <c r="H37" i="3"/>
  <c r="I37" i="3" s="1"/>
  <c r="H38" i="3"/>
  <c r="I38" i="3" s="1"/>
  <c r="H39" i="3"/>
  <c r="I39" i="3" s="1"/>
  <c r="H40" i="3"/>
  <c r="I40" i="3" s="1"/>
  <c r="H41" i="3"/>
  <c r="I41" i="3" s="1"/>
  <c r="H42" i="3"/>
  <c r="I42" i="3" s="1"/>
  <c r="H43" i="3"/>
  <c r="I43" i="3" s="1"/>
  <c r="H44" i="3"/>
  <c r="I44" i="3" s="1"/>
  <c r="H45" i="3"/>
  <c r="I45" i="3" s="1"/>
  <c r="H46" i="3"/>
  <c r="I46" i="3" s="1"/>
  <c r="H47" i="3"/>
  <c r="I47" i="3" s="1"/>
  <c r="H48" i="3"/>
  <c r="I48" i="3" s="1"/>
  <c r="H49" i="3"/>
  <c r="I49" i="3" s="1"/>
  <c r="H50" i="3"/>
  <c r="I50" i="3" s="1"/>
  <c r="H51" i="3"/>
  <c r="I51" i="3" s="1"/>
  <c r="H52" i="3"/>
  <c r="I52" i="3" s="1"/>
  <c r="H53" i="3"/>
  <c r="I53" i="3" s="1"/>
  <c r="H54" i="3"/>
  <c r="I54" i="3" s="1"/>
  <c r="H55" i="3"/>
  <c r="I55" i="3" s="1"/>
  <c r="H56" i="3"/>
  <c r="I56" i="3" s="1"/>
  <c r="H57" i="3"/>
  <c r="I57" i="3" s="1"/>
  <c r="H58" i="3"/>
  <c r="I58" i="3" s="1"/>
  <c r="H59" i="3"/>
  <c r="I59" i="3" s="1"/>
  <c r="H60" i="3"/>
  <c r="I60" i="3" s="1"/>
  <c r="H61" i="3"/>
  <c r="I61" i="3" s="1"/>
  <c r="H62" i="3"/>
  <c r="I62" i="3" s="1"/>
  <c r="H63" i="3"/>
  <c r="I63" i="3" s="1"/>
  <c r="H64" i="3"/>
  <c r="I64" i="3" s="1"/>
  <c r="H65" i="3"/>
  <c r="I65" i="3" s="1"/>
  <c r="H66" i="3"/>
  <c r="I66" i="3" s="1"/>
  <c r="H67" i="3"/>
  <c r="I67" i="3" s="1"/>
  <c r="H68" i="3"/>
  <c r="I68" i="3" s="1"/>
  <c r="H69" i="3"/>
  <c r="I69" i="3" s="1"/>
  <c r="H70" i="3"/>
  <c r="I70" i="3" s="1"/>
  <c r="H71" i="3"/>
  <c r="I71" i="3" s="1"/>
  <c r="H72" i="3"/>
  <c r="I72" i="3" s="1"/>
  <c r="H73" i="3"/>
  <c r="I73" i="3" s="1"/>
  <c r="H74" i="3"/>
  <c r="I74" i="3" s="1"/>
  <c r="H75" i="3"/>
  <c r="I75" i="3" s="1"/>
  <c r="H76" i="3"/>
  <c r="I76" i="3" s="1"/>
  <c r="H77" i="3"/>
  <c r="I77" i="3" s="1"/>
  <c r="H78" i="3"/>
  <c r="I78" i="3" s="1"/>
  <c r="H79" i="3"/>
  <c r="I79" i="3" s="1"/>
  <c r="H80" i="3"/>
  <c r="I80" i="3" s="1"/>
  <c r="H81" i="3"/>
  <c r="I81" i="3" s="1"/>
  <c r="H82" i="3"/>
  <c r="I82" i="3" s="1"/>
  <c r="H83" i="3"/>
  <c r="I83" i="3" s="1"/>
  <c r="H84" i="3"/>
  <c r="I84" i="3" s="1"/>
  <c r="H85" i="3"/>
  <c r="I85" i="3" s="1"/>
  <c r="H86" i="3"/>
  <c r="I86" i="3" s="1"/>
  <c r="H87" i="3"/>
  <c r="I87" i="3" s="1"/>
  <c r="H88" i="3"/>
  <c r="I88" i="3" s="1"/>
  <c r="H89" i="3"/>
  <c r="I89" i="3" s="1"/>
  <c r="H90" i="3"/>
  <c r="I90" i="3" s="1"/>
  <c r="H91" i="3"/>
  <c r="I91" i="3" s="1"/>
  <c r="H92" i="3"/>
  <c r="I92" i="3" s="1"/>
  <c r="H93" i="3"/>
  <c r="I93" i="3" s="1"/>
  <c r="H94" i="3"/>
  <c r="I94" i="3" s="1"/>
  <c r="H95" i="3"/>
  <c r="I95" i="3" s="1"/>
  <c r="H96" i="3"/>
  <c r="I96" i="3" s="1"/>
  <c r="H97" i="3"/>
  <c r="I97" i="3" s="1"/>
  <c r="H98" i="3"/>
  <c r="I98" i="3" s="1"/>
  <c r="H99" i="3"/>
  <c r="I99" i="3" s="1"/>
  <c r="H100" i="3"/>
  <c r="I100" i="3" s="1"/>
  <c r="H101" i="3"/>
  <c r="I101" i="3" s="1"/>
  <c r="H102" i="3"/>
  <c r="I102" i="3" s="1"/>
  <c r="H103" i="3"/>
  <c r="I103" i="3" s="1"/>
  <c r="H104" i="3"/>
  <c r="I104" i="3" s="1"/>
  <c r="H105" i="3"/>
  <c r="I105" i="3" s="1"/>
  <c r="H106" i="3"/>
  <c r="I106" i="3" s="1"/>
  <c r="H107" i="3"/>
  <c r="I107" i="3" s="1"/>
  <c r="H108" i="3"/>
  <c r="I108" i="3" s="1"/>
  <c r="H109" i="3"/>
  <c r="I109" i="3" s="1"/>
  <c r="H110" i="3"/>
  <c r="I110" i="3" s="1"/>
  <c r="H111" i="3"/>
  <c r="I111" i="3" s="1"/>
  <c r="H112" i="3"/>
  <c r="I112" i="3" s="1"/>
  <c r="H113" i="3"/>
  <c r="I113" i="3" s="1"/>
  <c r="H114" i="3"/>
  <c r="I114" i="3" s="1"/>
  <c r="H115" i="3"/>
  <c r="I115" i="3" s="1"/>
  <c r="H116" i="3"/>
  <c r="I116" i="3" s="1"/>
  <c r="H117" i="3"/>
  <c r="I117" i="3" s="1"/>
  <c r="H118" i="3"/>
  <c r="I118" i="3" s="1"/>
  <c r="H119" i="3"/>
  <c r="I119" i="3" s="1"/>
  <c r="H120" i="3"/>
  <c r="I120" i="3" s="1"/>
  <c r="H121" i="3"/>
  <c r="I121" i="3" s="1"/>
  <c r="H122" i="3"/>
  <c r="I122" i="3" s="1"/>
  <c r="H123" i="3"/>
  <c r="I123" i="3" s="1"/>
  <c r="H124" i="3"/>
  <c r="I124" i="3" s="1"/>
  <c r="H125" i="3"/>
  <c r="I125" i="3" s="1"/>
  <c r="H126" i="3"/>
  <c r="I126" i="3" s="1"/>
  <c r="H127" i="3"/>
  <c r="I127" i="3" s="1"/>
  <c r="H128" i="3"/>
  <c r="I128" i="3" s="1"/>
  <c r="H129" i="3"/>
  <c r="I129" i="3" s="1"/>
  <c r="H130" i="3"/>
  <c r="I130" i="3" s="1"/>
  <c r="H131" i="3"/>
  <c r="I131" i="3" s="1"/>
  <c r="H132" i="3"/>
  <c r="I132" i="3" s="1"/>
  <c r="H133" i="3"/>
  <c r="I133" i="3" s="1"/>
  <c r="H134" i="3"/>
  <c r="I134" i="3" s="1"/>
  <c r="H135" i="3"/>
  <c r="I135" i="3" s="1"/>
  <c r="H136" i="3"/>
  <c r="I136" i="3" s="1"/>
  <c r="H137" i="3"/>
  <c r="I137" i="3" s="1"/>
  <c r="H138" i="3"/>
  <c r="I138" i="3" s="1"/>
  <c r="H139" i="3"/>
  <c r="I139" i="3" s="1"/>
  <c r="H140" i="3"/>
  <c r="I140" i="3" s="1"/>
  <c r="H141" i="3"/>
  <c r="I141" i="3" s="1"/>
  <c r="H142" i="3"/>
  <c r="I142" i="3" s="1"/>
  <c r="H143" i="3"/>
  <c r="I143" i="3" s="1"/>
  <c r="H144" i="3"/>
  <c r="I144" i="3" s="1"/>
  <c r="H145" i="3"/>
  <c r="I145" i="3" s="1"/>
  <c r="H146" i="3"/>
  <c r="I146" i="3" s="1"/>
  <c r="H147" i="3"/>
  <c r="I147" i="3" s="1"/>
  <c r="H148" i="3"/>
  <c r="I148" i="3" s="1"/>
  <c r="H149" i="3"/>
  <c r="I149" i="3" s="1"/>
  <c r="H150" i="3"/>
  <c r="I150" i="3" s="1"/>
  <c r="H151" i="3"/>
  <c r="I151" i="3" s="1"/>
  <c r="H152" i="3"/>
  <c r="I152" i="3" s="1"/>
  <c r="H153" i="3"/>
  <c r="I153" i="3" s="1"/>
  <c r="H154" i="3"/>
  <c r="I154" i="3" s="1"/>
  <c r="H155" i="3"/>
  <c r="I155" i="3" s="1"/>
  <c r="H156" i="3"/>
  <c r="I156" i="3" s="1"/>
  <c r="H157" i="3"/>
  <c r="I157" i="3" s="1"/>
  <c r="H158" i="3"/>
  <c r="I158" i="3" s="1"/>
  <c r="H159" i="3"/>
  <c r="I159" i="3" s="1"/>
  <c r="H160" i="3"/>
  <c r="I160" i="3" s="1"/>
  <c r="H161" i="3"/>
  <c r="I161" i="3" s="1"/>
  <c r="H162" i="3"/>
  <c r="I162" i="3" s="1"/>
  <c r="H163" i="3"/>
  <c r="I163" i="3" s="1"/>
  <c r="H164" i="3"/>
  <c r="I164" i="3" s="1"/>
  <c r="H165" i="3"/>
  <c r="I165" i="3" s="1"/>
  <c r="H166" i="3"/>
  <c r="I166" i="3" s="1"/>
  <c r="H167" i="3"/>
  <c r="I167" i="3" s="1"/>
  <c r="H168" i="3"/>
  <c r="I168" i="3" s="1"/>
  <c r="H169" i="3"/>
  <c r="I169" i="3" s="1"/>
  <c r="H170" i="3"/>
  <c r="I170" i="3" s="1"/>
  <c r="H171" i="3"/>
  <c r="I171" i="3" s="1"/>
  <c r="H172" i="3"/>
  <c r="I172" i="3" s="1"/>
  <c r="H173" i="3"/>
  <c r="I173" i="3" s="1"/>
  <c r="H174" i="3"/>
  <c r="I174" i="3" s="1"/>
  <c r="H175" i="3"/>
  <c r="I175" i="3" s="1"/>
  <c r="H176" i="3"/>
  <c r="I176" i="3" s="1"/>
  <c r="H177" i="3"/>
  <c r="I177" i="3" s="1"/>
  <c r="H178" i="3"/>
  <c r="I178" i="3" s="1"/>
  <c r="H179" i="3"/>
  <c r="I179" i="3" s="1"/>
  <c r="H180" i="3"/>
  <c r="I180" i="3" s="1"/>
  <c r="H181" i="3"/>
  <c r="I181" i="3" s="1"/>
  <c r="H182" i="3"/>
  <c r="I182" i="3" s="1"/>
  <c r="H183" i="3"/>
  <c r="I183" i="3" s="1"/>
  <c r="H184" i="3"/>
  <c r="I184" i="3" s="1"/>
  <c r="H185" i="3"/>
  <c r="I185" i="3" s="1"/>
  <c r="H186" i="3"/>
  <c r="I186" i="3" s="1"/>
  <c r="H187" i="3"/>
  <c r="I187" i="3" s="1"/>
  <c r="H188" i="3"/>
  <c r="I188" i="3" s="1"/>
  <c r="H189" i="3"/>
  <c r="I189" i="3" s="1"/>
  <c r="H190" i="3"/>
  <c r="I190" i="3" s="1"/>
  <c r="H191" i="3"/>
  <c r="I191" i="3" s="1"/>
  <c r="H192" i="3"/>
  <c r="I192" i="3" s="1"/>
  <c r="H193" i="3"/>
  <c r="I193" i="3" s="1"/>
  <c r="H194" i="3"/>
  <c r="I194" i="3" s="1"/>
  <c r="H195" i="3"/>
  <c r="I195" i="3" s="1"/>
  <c r="H196" i="3"/>
  <c r="I196" i="3" s="1"/>
  <c r="H197" i="3"/>
  <c r="I197" i="3" s="1"/>
  <c r="H198" i="3"/>
  <c r="I198" i="3" s="1"/>
  <c r="H199" i="3"/>
  <c r="I199" i="3" s="1"/>
  <c r="H200" i="3"/>
  <c r="I200" i="3" s="1"/>
  <c r="H201" i="3"/>
  <c r="I201" i="3" s="1"/>
  <c r="H2" i="3"/>
  <c r="I2" i="3" s="1"/>
  <c r="D100" i="10" l="1"/>
  <c r="H66" i="10"/>
  <c r="J66" i="10" s="1"/>
  <c r="H68" i="10"/>
  <c r="J68" i="10" s="1"/>
  <c r="H65" i="10"/>
  <c r="J65" i="10" s="1"/>
  <c r="H67" i="10"/>
  <c r="J67" i="10" s="1"/>
  <c r="D101" i="10"/>
  <c r="D103" i="10"/>
  <c r="F43" i="10"/>
  <c r="F44" i="10"/>
  <c r="F45" i="10"/>
  <c r="F46" i="10"/>
  <c r="D102" i="10"/>
  <c r="D104"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EEC6A8-3403-4148-9993-DCF7598AC502}" keepAlive="1" name="Query - Campaign Metadata" description="Connection to the 'Campaign Metadata' query in the workbook." type="5" refreshedVersion="8" background="1" saveData="1">
    <dbPr connection="Provider=Microsoft.Mashup.OleDb.1;Data Source=$Workbook$;Location=&quot;Campaign Metadata&quot;;Extended Properties=&quot;&quot;" command="SELECT * FROM [Campaign Metadata]"/>
  </connection>
  <connection id="2" xr16:uid="{1927ADA6-035F-41E9-8E15-9BBC7300FAFA}" keepAlive="1" name="Query - Engagement Summary" description="Connection to the 'Engagement Summary' query in the workbook." type="5" refreshedVersion="8" background="1" saveData="1">
    <dbPr connection="Provider=Microsoft.Mashup.OleDb.1;Data Source=$Workbook$;Location=&quot;Engagement Summary&quot;;Extended Properties=&quot;&quot;" command="SELECT * FROM [Engagement Summary]"/>
  </connection>
  <connection id="3" xr16:uid="{191CBDCC-0E11-449D-AEA0-BFF7BF705457}" keepAlive="1" name="Query - Posts" description="Connection to the 'Posts' query in the workbook." type="5" refreshedVersion="0" background="1">
    <dbPr connection="Provider=Microsoft.Mashup.OleDb.1;Data Source=$Workbook$;Location=Posts;Extended Properties=&quot;&quot;" command="SELECT * FROM [Posts]"/>
  </connection>
</connections>
</file>

<file path=xl/sharedStrings.xml><?xml version="1.0" encoding="utf-8"?>
<sst xmlns="http://schemas.openxmlformats.org/spreadsheetml/2006/main" count="4947" uniqueCount="414">
  <si>
    <t>Post ID</t>
  </si>
  <si>
    <t>Platform</t>
  </si>
  <si>
    <t>Date</t>
  </si>
  <si>
    <t>Content Type</t>
  </si>
  <si>
    <t>Post Text</t>
  </si>
  <si>
    <t>Likes</t>
  </si>
  <si>
    <t>Shares</t>
  </si>
  <si>
    <t>Comments</t>
  </si>
  <si>
    <t>Impressions</t>
  </si>
  <si>
    <t>Reach</t>
  </si>
  <si>
    <t>Clicks</t>
  </si>
  <si>
    <t>Campaign_Name</t>
  </si>
  <si>
    <t>SP001</t>
  </si>
  <si>
    <t>Instagram</t>
  </si>
  <si>
    <t>Text</t>
  </si>
  <si>
    <t>Discover fresh beats on Spotify!</t>
  </si>
  <si>
    <t>ChillVibes</t>
  </si>
  <si>
    <t>SP002</t>
  </si>
  <si>
    <t>Explore the latest podcasts now.</t>
  </si>
  <si>
    <t>#DiscoverWeekly</t>
  </si>
  <si>
    <t>IndieWave</t>
  </si>
  <si>
    <t>SP003</t>
  </si>
  <si>
    <t>Twitter</t>
  </si>
  <si>
    <t>Story</t>
  </si>
  <si>
    <t>New music just dropped. Hit play!</t>
  </si>
  <si>
    <t>SP004</t>
  </si>
  <si>
    <t>Wrapped is here! Relive your top tracks ðŸŽ§</t>
  </si>
  <si>
    <t>SP005</t>
  </si>
  <si>
    <t>YouTube</t>
  </si>
  <si>
    <t>Music that moves youâ€”only on Spotify.</t>
  </si>
  <si>
    <t>SP006</t>
  </si>
  <si>
    <t>Whatâ€™s your vibe today? #SpotifyHits</t>
  </si>
  <si>
    <t>SP007</t>
  </si>
  <si>
    <t>Get into the groove with our new drop!</t>
  </si>
  <si>
    <t>SP008</t>
  </si>
  <si>
    <t>SP009</t>
  </si>
  <si>
    <t>Top trending tracks updated daily!</t>
  </si>
  <si>
    <t>#NowPlaying</t>
  </si>
  <si>
    <t>SP010</t>
  </si>
  <si>
    <t>SP011</t>
  </si>
  <si>
    <t>#SoundtrackOfLife</t>
  </si>
  <si>
    <t>SP012</t>
  </si>
  <si>
    <t>SP013</t>
  </si>
  <si>
    <t>SP014</t>
  </si>
  <si>
    <t>From pop to podcasts, itâ€™s all here.</t>
  </si>
  <si>
    <t>SP015</t>
  </si>
  <si>
    <t>Your weekend playlist is waiting.</t>
  </si>
  <si>
    <t>SP016</t>
  </si>
  <si>
    <t>SP017</t>
  </si>
  <si>
    <t>SP018</t>
  </si>
  <si>
    <t>Wrapped2024</t>
  </si>
  <si>
    <t>SP019</t>
  </si>
  <si>
    <t>Reel</t>
  </si>
  <si>
    <t>SummerBeats</t>
  </si>
  <si>
    <t>SP020</t>
  </si>
  <si>
    <t>SP021</t>
  </si>
  <si>
    <t>SP022</t>
  </si>
  <si>
    <t>SP023</t>
  </si>
  <si>
    <t>SP024</t>
  </si>
  <si>
    <t>SP025</t>
  </si>
  <si>
    <t>SP026</t>
  </si>
  <si>
    <t>SP027</t>
  </si>
  <si>
    <t>SP028</t>
  </si>
  <si>
    <t>SP029</t>
  </si>
  <si>
    <t>SP030</t>
  </si>
  <si>
    <t>SP031</t>
  </si>
  <si>
    <t>SP032</t>
  </si>
  <si>
    <t>SP033</t>
  </si>
  <si>
    <t>SP034</t>
  </si>
  <si>
    <t>SP035</t>
  </si>
  <si>
    <t>SP036</t>
  </si>
  <si>
    <t>SP037</t>
  </si>
  <si>
    <t>SP038</t>
  </si>
  <si>
    <t>SP039</t>
  </si>
  <si>
    <t>SP040</t>
  </si>
  <si>
    <t>SP041</t>
  </si>
  <si>
    <t>SP042</t>
  </si>
  <si>
    <t>SP043</t>
  </si>
  <si>
    <t>SP044</t>
  </si>
  <si>
    <t>SP045</t>
  </si>
  <si>
    <t>SP046</t>
  </si>
  <si>
    <t>SP047</t>
  </si>
  <si>
    <t>SP048</t>
  </si>
  <si>
    <t>SP049</t>
  </si>
  <si>
    <t>SP050</t>
  </si>
  <si>
    <t>SP051</t>
  </si>
  <si>
    <t>SP052</t>
  </si>
  <si>
    <t>SP053</t>
  </si>
  <si>
    <t>SP054</t>
  </si>
  <si>
    <t>SP055</t>
  </si>
  <si>
    <t>SP056</t>
  </si>
  <si>
    <t>SP057</t>
  </si>
  <si>
    <t>SP058</t>
  </si>
  <si>
    <t>SP059</t>
  </si>
  <si>
    <t>SP060</t>
  </si>
  <si>
    <t>SP061</t>
  </si>
  <si>
    <t>SP062</t>
  </si>
  <si>
    <t>SP063</t>
  </si>
  <si>
    <t>SP064</t>
  </si>
  <si>
    <t>SP065</t>
  </si>
  <si>
    <t>SP066</t>
  </si>
  <si>
    <t>SP067</t>
  </si>
  <si>
    <t>SP068</t>
  </si>
  <si>
    <t>SP069</t>
  </si>
  <si>
    <t>SP070</t>
  </si>
  <si>
    <t>SP071</t>
  </si>
  <si>
    <t>SP072</t>
  </si>
  <si>
    <t>SP073</t>
  </si>
  <si>
    <t>SP074</t>
  </si>
  <si>
    <t>SP075</t>
  </si>
  <si>
    <t>SP076</t>
  </si>
  <si>
    <t>SP077</t>
  </si>
  <si>
    <t>SP078</t>
  </si>
  <si>
    <t>SP079</t>
  </si>
  <si>
    <t>SP080</t>
  </si>
  <si>
    <t>SP081</t>
  </si>
  <si>
    <t>SP082</t>
  </si>
  <si>
    <t>SP083</t>
  </si>
  <si>
    <t>SP084</t>
  </si>
  <si>
    <t>SP085</t>
  </si>
  <si>
    <t>SP086</t>
  </si>
  <si>
    <t>SP087</t>
  </si>
  <si>
    <t>SP088</t>
  </si>
  <si>
    <t>SP089</t>
  </si>
  <si>
    <t>SP090</t>
  </si>
  <si>
    <t>SP091</t>
  </si>
  <si>
    <t>SP092</t>
  </si>
  <si>
    <t>SP093</t>
  </si>
  <si>
    <t>SP094</t>
  </si>
  <si>
    <t>SP095</t>
  </si>
  <si>
    <t>SP096</t>
  </si>
  <si>
    <t>SP097</t>
  </si>
  <si>
    <t>SP098</t>
  </si>
  <si>
    <t>SP099</t>
  </si>
  <si>
    <t>SP100</t>
  </si>
  <si>
    <t>SP101</t>
  </si>
  <si>
    <t>SP102</t>
  </si>
  <si>
    <t>SP103</t>
  </si>
  <si>
    <t>SP104</t>
  </si>
  <si>
    <t>SP105</t>
  </si>
  <si>
    <t>SP106</t>
  </si>
  <si>
    <t>SP107</t>
  </si>
  <si>
    <t>SP108</t>
  </si>
  <si>
    <t>SP109</t>
  </si>
  <si>
    <t>SP110</t>
  </si>
  <si>
    <t>SP111</t>
  </si>
  <si>
    <t>SP112</t>
  </si>
  <si>
    <t>SP113</t>
  </si>
  <si>
    <t>SP114</t>
  </si>
  <si>
    <t>SP115</t>
  </si>
  <si>
    <t>SP116</t>
  </si>
  <si>
    <t>SP117</t>
  </si>
  <si>
    <t>SP118</t>
  </si>
  <si>
    <t>SP119</t>
  </si>
  <si>
    <t>SP120</t>
  </si>
  <si>
    <t>SP121</t>
  </si>
  <si>
    <t>SP122</t>
  </si>
  <si>
    <t>SP123</t>
  </si>
  <si>
    <t>SP124</t>
  </si>
  <si>
    <t>SP125</t>
  </si>
  <si>
    <t>SP126</t>
  </si>
  <si>
    <t>SP127</t>
  </si>
  <si>
    <t>SP128</t>
  </si>
  <si>
    <t>SP129</t>
  </si>
  <si>
    <t>SP130</t>
  </si>
  <si>
    <t>SP131</t>
  </si>
  <si>
    <t>SP132</t>
  </si>
  <si>
    <t>SP133</t>
  </si>
  <si>
    <t>SP134</t>
  </si>
  <si>
    <t>SP135</t>
  </si>
  <si>
    <t>SP136</t>
  </si>
  <si>
    <t>SP137</t>
  </si>
  <si>
    <t>SP138</t>
  </si>
  <si>
    <t>SP139</t>
  </si>
  <si>
    <t>SP140</t>
  </si>
  <si>
    <t>SP141</t>
  </si>
  <si>
    <t>SP142</t>
  </si>
  <si>
    <t>SP143</t>
  </si>
  <si>
    <t>SP144</t>
  </si>
  <si>
    <t>SP145</t>
  </si>
  <si>
    <t>SP146</t>
  </si>
  <si>
    <t>SP147</t>
  </si>
  <si>
    <t>SP148</t>
  </si>
  <si>
    <t>SP149</t>
  </si>
  <si>
    <t>SP150</t>
  </si>
  <si>
    <t>SP151</t>
  </si>
  <si>
    <t>SP152</t>
  </si>
  <si>
    <t>SP153</t>
  </si>
  <si>
    <t>SP154</t>
  </si>
  <si>
    <t>SP155</t>
  </si>
  <si>
    <t>SP156</t>
  </si>
  <si>
    <t>SP157</t>
  </si>
  <si>
    <t>SP158</t>
  </si>
  <si>
    <t>SP159</t>
  </si>
  <si>
    <t>SP160</t>
  </si>
  <si>
    <t>SP161</t>
  </si>
  <si>
    <t>SP162</t>
  </si>
  <si>
    <t>SP163</t>
  </si>
  <si>
    <t>SP164</t>
  </si>
  <si>
    <t>SP165</t>
  </si>
  <si>
    <t>SP166</t>
  </si>
  <si>
    <t>SP167</t>
  </si>
  <si>
    <t>SP168</t>
  </si>
  <si>
    <t>SP169</t>
  </si>
  <si>
    <t>SP170</t>
  </si>
  <si>
    <t>SP171</t>
  </si>
  <si>
    <t>SP172</t>
  </si>
  <si>
    <t>SP173</t>
  </si>
  <si>
    <t>SP174</t>
  </si>
  <si>
    <t>SP175</t>
  </si>
  <si>
    <t>SP176</t>
  </si>
  <si>
    <t>SP177</t>
  </si>
  <si>
    <t>SP178</t>
  </si>
  <si>
    <t>SP179</t>
  </si>
  <si>
    <t>SP180</t>
  </si>
  <si>
    <t>SP181</t>
  </si>
  <si>
    <t>SP182</t>
  </si>
  <si>
    <t>SP183</t>
  </si>
  <si>
    <t>SP184</t>
  </si>
  <si>
    <t>SP185</t>
  </si>
  <si>
    <t>SP186</t>
  </si>
  <si>
    <t>SP187</t>
  </si>
  <si>
    <t>SP188</t>
  </si>
  <si>
    <t>SP189</t>
  </si>
  <si>
    <t>SP190</t>
  </si>
  <si>
    <t>SP191</t>
  </si>
  <si>
    <t>SP192</t>
  </si>
  <si>
    <t>SP193</t>
  </si>
  <si>
    <t>SP194</t>
  </si>
  <si>
    <t>SP195</t>
  </si>
  <si>
    <t>SP196</t>
  </si>
  <si>
    <t>SP197</t>
  </si>
  <si>
    <t>SP198</t>
  </si>
  <si>
    <t>SP199</t>
  </si>
  <si>
    <t>SP200</t>
  </si>
  <si>
    <t>SP201</t>
  </si>
  <si>
    <t>SP202</t>
  </si>
  <si>
    <t>SP203</t>
  </si>
  <si>
    <t>SP204</t>
  </si>
  <si>
    <t>SP205</t>
  </si>
  <si>
    <t>SP206</t>
  </si>
  <si>
    <t>SP207</t>
  </si>
  <si>
    <t>SP208</t>
  </si>
  <si>
    <t>SP209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</si>
  <si>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</si>
  <si>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</si>
  <si>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</si>
  <si>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</si>
  <si>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</si>
  <si>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</si>
  <si>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</si>
  <si>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</si>
  <si>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</si>
  <si>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</si>
  <si>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</si>
  <si>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</si>
  <si>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</si>
  <si>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</si>
  <si>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</si>
  <si>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</si>
  <si>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</si>
  <si>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</si>
  <si>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</si>
  <si>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</si>
  <si>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</si>
  <si>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</si>
  <si>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</si>
  <si>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</si>
  <si>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</si>
  <si>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</si>
  <si>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</si>
  <si>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</si>
  <si>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</si>
  <si>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</si>
  <si>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</si>
  <si>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</si>
  <si>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</si>
  <si>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</si>
  <si>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</si>
  <si>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SP245</t>
  </si>
  <si>
    <t>SP246</t>
  </si>
  <si>
    <t>SP247</t>
  </si>
  <si>
    <t>SP248</t>
  </si>
  <si>
    <t>SP249</t>
  </si>
  <si>
    <t>SP250</t>
  </si>
  <si>
    <t>SP251</t>
  </si>
  <si>
    <t>SP252</t>
  </si>
  <si>
    <t>SP253</t>
  </si>
  <si>
    <t>SP254</t>
  </si>
  <si>
    <t>SP255</t>
  </si>
  <si>
    <t>SP256</t>
  </si>
  <si>
    <t>SP257</t>
  </si>
  <si>
    <t>SP258</t>
  </si>
  <si>
    <t>SP259</t>
  </si>
  <si>
    <t>SP260</t>
  </si>
  <si>
    <t>SP261</t>
  </si>
  <si>
    <t>SP262</t>
  </si>
  <si>
    <t>SP263</t>
  </si>
  <si>
    <t>SP264</t>
  </si>
  <si>
    <t>SP265</t>
  </si>
  <si>
    <t>SP266</t>
  </si>
  <si>
    <t>SP267</t>
  </si>
  <si>
    <t>SP268</t>
  </si>
  <si>
    <t>SP269</t>
  </si>
  <si>
    <t>SP270</t>
  </si>
  <si>
    <t>SP271</t>
  </si>
  <si>
    <t>SP272</t>
  </si>
  <si>
    <t>SP273</t>
  </si>
  <si>
    <t>SP274</t>
  </si>
  <si>
    <t>SP275</t>
  </si>
  <si>
    <t>SP276</t>
  </si>
  <si>
    <t>SP277</t>
  </si>
  <si>
    <t>SP278</t>
  </si>
  <si>
    <t>SP279</t>
  </si>
  <si>
    <t>SP280</t>
  </si>
  <si>
    <t>SP281</t>
  </si>
  <si>
    <t>SP282</t>
  </si>
  <si>
    <t>SP283</t>
  </si>
  <si>
    <t>SP284</t>
  </si>
  <si>
    <t>SP285</t>
  </si>
  <si>
    <t>SP286</t>
  </si>
  <si>
    <t>SP287</t>
  </si>
  <si>
    <t>SP288</t>
  </si>
  <si>
    <t>SP289</t>
  </si>
  <si>
    <t>SP290</t>
  </si>
  <si>
    <t>SP291</t>
  </si>
  <si>
    <t>SP292</t>
  </si>
  <si>
    <t>SP293</t>
  </si>
  <si>
    <t>SP294</t>
  </si>
  <si>
    <t>SP295</t>
  </si>
  <si>
    <t>SP296</t>
  </si>
  <si>
    <t>SP297</t>
  </si>
  <si>
    <t>SP298</t>
  </si>
  <si>
    <t>SP299</t>
  </si>
  <si>
    <t>SP300</t>
  </si>
  <si>
    <t>Hashtag 1</t>
  </si>
  <si>
    <t>Hashtag 2</t>
  </si>
  <si>
    <t>#MusicForEveryone</t>
  </si>
  <si>
    <t>#SpotifyWrapped</t>
  </si>
  <si>
    <t>Week_Start_Date</t>
  </si>
  <si>
    <t>New_Followers</t>
  </si>
  <si>
    <t>Unfollows</t>
  </si>
  <si>
    <t>Total_Followers</t>
  </si>
  <si>
    <t>Engagement_Rate</t>
  </si>
  <si>
    <t>Ad_Spend</t>
  </si>
  <si>
    <t>Engagement Rate</t>
  </si>
  <si>
    <t>Grand Total</t>
  </si>
  <si>
    <t>Sum of Likes</t>
  </si>
  <si>
    <t>Sum of Shares</t>
  </si>
  <si>
    <t>Sum of Comments</t>
  </si>
  <si>
    <t>Average of Clicks</t>
  </si>
  <si>
    <t>Rank</t>
  </si>
  <si>
    <t>Average of Engagement_Rate</t>
  </si>
  <si>
    <t>Platform / Content Type</t>
  </si>
  <si>
    <t>Hashtags</t>
  </si>
  <si>
    <t>Net Follower Gain</t>
  </si>
  <si>
    <t>Growth Rate %</t>
  </si>
  <si>
    <t>Average of Growth Rate %</t>
  </si>
  <si>
    <t>Sum of Ad_Spend</t>
  </si>
  <si>
    <t>All_Hashtags</t>
  </si>
  <si>
    <t>Average Clicks per post by Hashtag</t>
  </si>
  <si>
    <t>Top-Performing Hashtags</t>
  </si>
  <si>
    <t>Count of All_Hashtags</t>
  </si>
  <si>
    <t>Average of Engagement Rate</t>
  </si>
  <si>
    <t>Most Frequent Hashtags and Average Engagement</t>
  </si>
  <si>
    <t>Content Type Performance Across Platforms</t>
  </si>
  <si>
    <t>Start_Date</t>
  </si>
  <si>
    <t>End_Date</t>
  </si>
  <si>
    <t>Objective</t>
  </si>
  <si>
    <t>Total_Budget</t>
  </si>
  <si>
    <t>Target_Platforms</t>
  </si>
  <si>
    <t>Brand Awareness</t>
  </si>
  <si>
    <t>Instagram,YouTube</t>
  </si>
  <si>
    <t>Engagement</t>
  </si>
  <si>
    <t>Twitter,YouTube</t>
  </si>
  <si>
    <t>Product Launch</t>
  </si>
  <si>
    <t>Instagram,Twitter</t>
  </si>
  <si>
    <t>Traffic</t>
  </si>
  <si>
    <t>Facebook,Instagram</t>
  </si>
  <si>
    <t>Sum of Impressions</t>
  </si>
  <si>
    <t>Sum of Clicks</t>
  </si>
  <si>
    <t>Total &amp; Average Impressions, Likes, Clicks Per Campaign</t>
  </si>
  <si>
    <t>Total Follower Gain</t>
  </si>
  <si>
    <t>Campaign with strongest follower</t>
  </si>
  <si>
    <t>Sum of Net Follower Gain</t>
  </si>
  <si>
    <t>Week with Highest Net Follower Gain</t>
  </si>
  <si>
    <t>3-Week Moving Average</t>
  </si>
  <si>
    <t>Correlation between Ad Spend vs. Follower Growth</t>
  </si>
  <si>
    <t>Correlation Coefficient (r)</t>
  </si>
  <si>
    <t>3-Week Moving Average to Analyze Follower Trends</t>
  </si>
  <si>
    <t>Total Likes, Shares, and Comments by Platform and Content Type</t>
  </si>
  <si>
    <t>Top 10 Posts by Engagement Rate</t>
  </si>
  <si>
    <t>Average Engagement Rate by Platform</t>
  </si>
  <si>
    <t>Ad Spend vs. Engagement Rate Analysis by Platform</t>
  </si>
  <si>
    <t>Platform-wise Weekly Growth Rate Analysis</t>
  </si>
  <si>
    <t>#ChillVibes</t>
  </si>
  <si>
    <t>#IndieWave</t>
  </si>
  <si>
    <t>Primary_Hashtag_1</t>
  </si>
  <si>
    <t>Primary_Hashtag_2</t>
  </si>
  <si>
    <t>Uplift %</t>
  </si>
  <si>
    <t>Engagement uplift during vs. before campaign</t>
  </si>
  <si>
    <t>Avg_During_Campaign</t>
  </si>
  <si>
    <t>Avg_Before_Campaign</t>
  </si>
  <si>
    <t>Total Likes</t>
  </si>
  <si>
    <t>Total Comments</t>
  </si>
  <si>
    <t>Total Shares</t>
  </si>
  <si>
    <t>Total Clicks</t>
  </si>
  <si>
    <t>Total Engagement</t>
  </si>
  <si>
    <t>Total Ad_Spend</t>
  </si>
  <si>
    <t>ROI</t>
  </si>
  <si>
    <t>Campaign with highest ROI</t>
  </si>
  <si>
    <t>Avg of Impressions</t>
  </si>
  <si>
    <t>Avg of Likes</t>
  </si>
  <si>
    <t>Avg of Clicks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</si>
</sst>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10000]d/m/yyyy;@"/>
    <numFmt numFmtId="165" formatCode="0.00000"/>
    <numFmt numFmtId="166" formatCode="0.000000000"/>
  </numFmts>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0"/>
      <name val="Aptos Narrow"/>
      <family val="2"/>
      <scheme val="minor"/>
    </font>
    <font>
      <b/>
      <sz val="14"/>
      <color theme="1"/>
      <name val="Aptos Narrow"/>
      <family val="2"/>
      <scheme val="minor"/>
    </font>
    <font>
      <sz val="14"/>
      <color theme="1"/>
      <name val="Aptos Narrow"/>
      <family val="2"/>
      <scheme val="minor"/>
    </font>
    <font>
      <b/>
      <sz val="16"/>
      <color theme="1"/>
      <name val="Aptos Narrow"/>
      <family val="2"/>
      <scheme val="minor"/>
    </font>
    <font>
      <b/>
      <sz val="12"/>
      <color theme="1"/>
      <name val="Aptos Narrow"/>
      <family val="2"/>
      <scheme val="minor"/>
    </font>
  </fonts>
  <fills count="16">
    <fill>
      <patternFill patternType="none"/>
    </fill>
    <fill>
      <patternFill patternType="gray125"/>
    </fill>
    <fill>
      <patternFill patternType="solid">
        <fgColor theme="4" tint="0.79998168889431442"/>
        <bgColor theme="4" tint="0.79998168889431442"/>
      </patternFill>
    </fill>
    <fill>
      <patternFill patternType="solid">
        <fgColor theme="9"/>
        <bgColor theme="9"/>
      </patternFill>
    </fill>
    <fill>
      <patternFill patternType="solid">
        <fgColor theme="9" tint="0.79998168889431442"/>
        <bgColor theme="9" tint="0.79998168889431442"/>
      </patternFill>
    </fill>
    <fill>
      <patternFill patternType="solid">
        <fgColor theme="2" tint="-0.249977111117893"/>
        <bgColor indexed="64"/>
      </patternFill>
    </fill>
    <fill>
      <patternFill patternType="solid">
        <fgColor theme="4" tint="0.59999389629810485"/>
        <bgColor theme="4" tint="0.79998168889431442"/>
      </patternFill>
    </fill>
    <fill>
      <patternFill patternType="solid">
        <fgColor theme="0"/>
        <bgColor theme="4" tint="0.79998168889431442"/>
      </patternFill>
    </fill>
    <fill>
      <patternFill patternType="solid">
        <fgColor theme="4" tint="0.79998168889431442"/>
        <bgColor indexed="64"/>
      </patternFill>
    </fill>
    <fill>
      <patternFill patternType="solid">
        <fgColor theme="4"/>
        <bgColor theme="4"/>
      </patternFill>
    </fill>
    <fill>
      <patternFill patternType="solid">
        <fgColor theme="6" tint="0.79998168889431442"/>
        <bgColor indexed="64"/>
      </patternFill>
    </fill>
    <fill>
      <patternFill patternType="solid">
        <fgColor theme="2" tint="-0.249977111117893"/>
        <bgColor theme="4" tint="0.79998168889431442"/>
      </patternFill>
    </fill>
    <fill>
      <patternFill patternType="solid">
        <fgColor theme="7" tint="0.79998168889431442"/>
        <bgColor theme="9"/>
      </patternFill>
    </fill>
    <fill>
      <patternFill patternType="solid">
        <fgColor theme="7" tint="0.79998168889431442"/>
        <bgColor indexed="64"/>
      </patternFill>
    </fill>
    <fill>
      <patternFill patternType="solid">
        <fgColor theme="0"/>
        <bgColor theme="9" tint="0.79998168889431442"/>
      </patternFill>
    </fill>
    <fill>
      <patternFill patternType="solid">
        <fgColor theme="0"/>
        <bgColor indexed="64"/>
      </patternFill>
    </fill>
  </fills>
  <borders count="26">
    <border>
      <left/>
      <right/>
      <top/>
      <bottom/>
      <diagonal/>
    </border>
    <border>
      <left/>
      <right/>
      <top/>
      <bottom style="thin">
        <color theme="4" tint="0.3999755851924192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9"/>
      </left>
      <right/>
      <top style="thin">
        <color theme="9" tint="0.39997558519241921"/>
      </top>
      <bottom/>
      <diagonal/>
    </border>
    <border>
      <left style="thin">
        <color theme="9"/>
      </left>
      <right style="thin">
        <color theme="9"/>
      </right>
      <top style="thin">
        <color theme="9"/>
      </top>
      <bottom style="thin">
        <color theme="9"/>
      </bottom>
      <diagonal/>
    </border>
    <border>
      <left style="thin">
        <color theme="9" tint="0.39997558519241921"/>
      </left>
      <right style="thin">
        <color theme="9" tint="0.39997558519241921"/>
      </right>
      <top style="thin">
        <color theme="9" tint="0.39997558519241921"/>
      </top>
      <bottom/>
      <diagonal/>
    </border>
    <border>
      <left style="thin">
        <color theme="9" tint="0.39997558519241921"/>
      </left>
      <right/>
      <top style="medium">
        <color theme="9"/>
      </top>
      <bottom/>
      <diagonal/>
    </border>
    <border>
      <left style="thin">
        <color theme="9"/>
      </left>
      <right style="thin">
        <color theme="9"/>
      </right>
      <top style="medium">
        <color theme="9"/>
      </top>
      <bottom/>
      <diagonal/>
    </border>
    <border>
      <left style="thin">
        <color theme="9" tint="0.39997558519241921"/>
      </left>
      <right/>
      <top style="thin">
        <color theme="9"/>
      </top>
      <bottom/>
      <diagonal/>
    </border>
    <border>
      <left style="thin">
        <color theme="9"/>
      </left>
      <right style="thin">
        <color theme="9"/>
      </right>
      <top style="thin">
        <color theme="9"/>
      </top>
      <bottom/>
      <diagonal/>
    </border>
    <border>
      <left style="thin">
        <color theme="9"/>
      </left>
      <right/>
      <top style="thin">
        <color theme="9" tint="0.39997558519241921"/>
      </top>
      <bottom style="thin">
        <color theme="9" tint="0.39997558519241921"/>
      </bottom>
      <diagonal/>
    </border>
    <border>
      <left style="thin">
        <color theme="9" tint="0.39997558519241921"/>
      </left>
      <right/>
      <top style="thin">
        <color theme="9"/>
      </top>
      <bottom style="thin">
        <color theme="9"/>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41">
    <xf numFmtId="0" fontId="0" fillId="0" borderId="0" xfId="0"/>
    <xf numFmtId="164" fontId="0" fillId="0" borderId="0" xfId="0" applyNumberFormat="1"/>
    <xf numFmtId="49" fontId="0" fillId="0" borderId="0" xfId="0" applyNumberFormat="1"/>
    <xf numFmtId="2" fontId="0" fillId="0" borderId="0" xfId="0" applyNumberFormat="1"/>
    <xf numFmtId="1" fontId="0" fillId="0" borderId="0" xfId="0" applyNumberFormat="1"/>
    <xf numFmtId="9" fontId="0" fillId="0" borderId="0" xfId="1" applyFont="1" applyAlignment="1">
      <alignment horizontal="center"/>
    </xf>
    <xf numFmtId="9" fontId="0" fillId="0" borderId="0" xfId="1" applyFont="1" applyFill="1" applyAlignment="1">
      <alignment horizontal="center"/>
    </xf>
    <xf numFmtId="0" fontId="0" fillId="0" borderId="0" xfId="0" pivotButton="1"/>
    <xf numFmtId="0" fontId="0" fillId="0" borderId="0" xfId="0" applyAlignment="1">
      <alignment horizontal="left"/>
    </xf>
    <xf numFmtId="0" fontId="2" fillId="0" borderId="0" xfId="0" applyFont="1"/>
    <xf numFmtId="164" fontId="3" fillId="3" borderId="5" xfId="0" applyNumberFormat="1" applyFont="1" applyFill="1" applyBorder="1"/>
    <xf numFmtId="164" fontId="0" fillId="4" borderId="5" xfId="0" applyNumberFormat="1" applyFill="1" applyBorder="1"/>
    <xf numFmtId="164" fontId="0" fillId="0" borderId="5" xfId="0" applyNumberFormat="1" applyBorder="1"/>
    <xf numFmtId="164" fontId="0" fillId="0" borderId="2" xfId="0" applyNumberFormat="1" applyBorder="1"/>
    <xf numFmtId="10" fontId="0" fillId="0" borderId="0" xfId="0" applyNumberFormat="1"/>
    <xf numFmtId="49" fontId="3" fillId="3" borderId="8" xfId="0" applyNumberFormat="1" applyFont="1" applyFill="1" applyBorder="1"/>
    <xf numFmtId="1" fontId="3" fillId="3" borderId="8" xfId="0" applyNumberFormat="1" applyFont="1" applyFill="1" applyBorder="1"/>
    <xf numFmtId="2" fontId="3" fillId="3" borderId="8" xfId="0" applyNumberFormat="1" applyFont="1" applyFill="1" applyBorder="1"/>
    <xf numFmtId="1" fontId="3" fillId="3" borderId="5" xfId="0" applyNumberFormat="1" applyFont="1" applyFill="1" applyBorder="1"/>
    <xf numFmtId="10" fontId="3" fillId="3" borderId="10" xfId="0" applyNumberFormat="1" applyFont="1" applyFill="1" applyBorder="1"/>
    <xf numFmtId="49" fontId="0" fillId="4" borderId="8" xfId="0" applyNumberFormat="1" applyFill="1" applyBorder="1"/>
    <xf numFmtId="1" fontId="0" fillId="4" borderId="8" xfId="0" applyNumberFormat="1" applyFill="1" applyBorder="1"/>
    <xf numFmtId="2" fontId="0" fillId="4" borderId="8" xfId="0" applyNumberFormat="1" applyFill="1" applyBorder="1"/>
    <xf numFmtId="1" fontId="0" fillId="4" borderId="11" xfId="0" applyNumberFormat="1" applyFill="1" applyBorder="1"/>
    <xf numFmtId="10" fontId="0" fillId="4" borderId="12" xfId="0" applyNumberFormat="1" applyFill="1" applyBorder="1"/>
    <xf numFmtId="49" fontId="0" fillId="0" borderId="8" xfId="0" applyNumberFormat="1" applyBorder="1"/>
    <xf numFmtId="1" fontId="0" fillId="0" borderId="8" xfId="0" applyNumberFormat="1" applyBorder="1"/>
    <xf numFmtId="2" fontId="0" fillId="0" borderId="8" xfId="0" applyNumberFormat="1" applyBorder="1"/>
    <xf numFmtId="1" fontId="0" fillId="0" borderId="13" xfId="0" applyNumberFormat="1" applyBorder="1"/>
    <xf numFmtId="10" fontId="0" fillId="0" borderId="14" xfId="0" applyNumberFormat="1" applyBorder="1"/>
    <xf numFmtId="1" fontId="0" fillId="4" borderId="13" xfId="0" applyNumberFormat="1" applyFill="1" applyBorder="1"/>
    <xf numFmtId="10" fontId="0" fillId="4" borderId="14" xfId="0" applyNumberFormat="1" applyFill="1" applyBorder="1"/>
    <xf numFmtId="49" fontId="0" fillId="0" borderId="15" xfId="0" applyNumberFormat="1" applyBorder="1"/>
    <xf numFmtId="1" fontId="0" fillId="0" borderId="15" xfId="0" applyNumberFormat="1" applyBorder="1"/>
    <xf numFmtId="2" fontId="0" fillId="0" borderId="15" xfId="0" applyNumberFormat="1" applyBorder="1"/>
    <xf numFmtId="1" fontId="0" fillId="0" borderId="16" xfId="0" applyNumberFormat="1" applyBorder="1"/>
    <xf numFmtId="10" fontId="0" fillId="0" borderId="9" xfId="0" applyNumberFormat="1" applyBorder="1"/>
    <xf numFmtId="49" fontId="3" fillId="3" borderId="5" xfId="0" applyNumberFormat="1" applyFont="1" applyFill="1" applyBorder="1" applyAlignment="1">
      <alignment horizontal="center"/>
    </xf>
    <xf numFmtId="49" fontId="3" fillId="3" borderId="6" xfId="0" applyNumberFormat="1" applyFont="1" applyFill="1" applyBorder="1" applyAlignment="1">
      <alignment horizontal="center"/>
    </xf>
    <xf numFmtId="164" fontId="3" fillId="3" borderId="6" xfId="0" applyNumberFormat="1" applyFont="1" applyFill="1" applyBorder="1" applyAlignment="1">
      <alignment horizontal="center"/>
    </xf>
    <xf numFmtId="9" fontId="3" fillId="3" borderId="7" xfId="0" applyNumberFormat="1" applyFont="1" applyFill="1" applyBorder="1"/>
    <xf numFmtId="49" fontId="0" fillId="4" borderId="5" xfId="0" applyNumberFormat="1" applyFill="1" applyBorder="1" applyAlignment="1">
      <alignment horizontal="center"/>
    </xf>
    <xf numFmtId="49" fontId="0" fillId="4" borderId="6" xfId="0" applyNumberFormat="1" applyFill="1" applyBorder="1" applyAlignment="1">
      <alignment horizontal="center"/>
    </xf>
    <xf numFmtId="164" fontId="0" fillId="4" borderId="6" xfId="0" applyNumberFormat="1" applyFill="1" applyBorder="1" applyAlignment="1">
      <alignment horizontal="center"/>
    </xf>
    <xf numFmtId="49" fontId="0" fillId="0" borderId="5" xfId="0" applyNumberFormat="1" applyBorder="1" applyAlignment="1">
      <alignment horizontal="center"/>
    </xf>
    <xf numFmtId="49" fontId="0" fillId="0" borderId="6" xfId="0" applyNumberFormat="1" applyBorder="1" applyAlignment="1">
      <alignment horizontal="center"/>
    </xf>
    <xf numFmtId="164" fontId="0" fillId="0" borderId="6" xfId="0" applyNumberFormat="1" applyBorder="1" applyAlignment="1">
      <alignment horizontal="center"/>
    </xf>
    <xf numFmtId="164" fontId="0" fillId="0" borderId="0" xfId="0" applyNumberFormat="1" applyAlignment="1">
      <alignment horizontal="left"/>
    </xf>
    <xf numFmtId="0" fontId="0" fillId="0" borderId="0" xfId="0" pivotButton="1" applyAlignment="1">
      <alignment horizontal="left"/>
    </xf>
    <xf numFmtId="10" fontId="0" fillId="0" borderId="0" xfId="0" applyNumberFormat="1" applyAlignment="1">
      <alignment horizontal="left"/>
    </xf>
    <xf numFmtId="49" fontId="0" fillId="4" borderId="2" xfId="0" applyNumberFormat="1" applyFill="1" applyBorder="1" applyAlignment="1">
      <alignment horizontal="center"/>
    </xf>
    <xf numFmtId="49" fontId="0" fillId="4" borderId="3" xfId="0" applyNumberFormat="1" applyFill="1" applyBorder="1" applyAlignment="1">
      <alignment horizontal="center"/>
    </xf>
    <xf numFmtId="164" fontId="0" fillId="4" borderId="3" xfId="0" applyNumberFormat="1" applyFill="1" applyBorder="1" applyAlignment="1">
      <alignment horizontal="center"/>
    </xf>
    <xf numFmtId="0" fontId="2" fillId="6" borderId="17" xfId="0" applyFont="1" applyFill="1" applyBorder="1"/>
    <xf numFmtId="0" fontId="0" fillId="2" borderId="17" xfId="0" applyFill="1" applyBorder="1"/>
    <xf numFmtId="2" fontId="0" fillId="2" borderId="17" xfId="0" applyNumberFormat="1" applyFill="1" applyBorder="1"/>
    <xf numFmtId="0" fontId="0" fillId="0" borderId="17" xfId="0" applyBorder="1"/>
    <xf numFmtId="2" fontId="0" fillId="0" borderId="17" xfId="0" applyNumberFormat="1" applyBorder="1"/>
    <xf numFmtId="0" fontId="2" fillId="7" borderId="17" xfId="0" applyFont="1" applyFill="1" applyBorder="1" applyAlignment="1">
      <alignment horizontal="left"/>
    </xf>
    <xf numFmtId="2" fontId="2" fillId="7" borderId="17" xfId="0" applyNumberFormat="1" applyFont="1" applyFill="1" applyBorder="1"/>
    <xf numFmtId="0" fontId="0" fillId="0" borderId="17" xfId="0" pivotButton="1" applyBorder="1"/>
    <xf numFmtId="0" fontId="0" fillId="0" borderId="17" xfId="0" applyBorder="1" applyAlignment="1">
      <alignment horizontal="left"/>
    </xf>
    <xf numFmtId="0" fontId="0" fillId="0" borderId="0" xfId="0" applyAlignment="1">
      <alignment horizontal="center"/>
    </xf>
    <xf numFmtId="0" fontId="0" fillId="0" borderId="0" xfId="0" pivotButton="1" applyAlignment="1">
      <alignment horizontal="center"/>
    </xf>
    <xf numFmtId="0" fontId="0" fillId="0" borderId="17" xfId="0" applyBorder="1" applyAlignment="1">
      <alignment horizontal="center"/>
    </xf>
    <xf numFmtId="49" fontId="3" fillId="9" borderId="23" xfId="0" applyNumberFormat="1" applyFont="1" applyFill="1" applyBorder="1" applyAlignment="1">
      <alignment horizontal="center"/>
    </xf>
    <xf numFmtId="49" fontId="3" fillId="9" borderId="19" xfId="0" applyNumberFormat="1" applyFont="1" applyFill="1" applyBorder="1" applyAlignment="1">
      <alignment horizontal="center"/>
    </xf>
    <xf numFmtId="164" fontId="3" fillId="9" borderId="19" xfId="0" applyNumberFormat="1" applyFont="1" applyFill="1" applyBorder="1" applyAlignment="1">
      <alignment horizontal="center"/>
    </xf>
    <xf numFmtId="2" fontId="3" fillId="9" borderId="19" xfId="0" applyNumberFormat="1" applyFont="1" applyFill="1" applyBorder="1" applyAlignment="1">
      <alignment horizontal="center"/>
    </xf>
    <xf numFmtId="9" fontId="3" fillId="9" borderId="24" xfId="0" applyNumberFormat="1" applyFont="1" applyFill="1" applyBorder="1"/>
    <xf numFmtId="49" fontId="0" fillId="2" borderId="23" xfId="0" applyNumberFormat="1" applyFill="1" applyBorder="1" applyAlignment="1">
      <alignment horizontal="center"/>
    </xf>
    <xf numFmtId="49" fontId="0" fillId="2" borderId="19" xfId="0" applyNumberFormat="1" applyFill="1" applyBorder="1" applyAlignment="1">
      <alignment horizontal="center"/>
    </xf>
    <xf numFmtId="164" fontId="0" fillId="2" borderId="19" xfId="0" applyNumberFormat="1" applyFill="1" applyBorder="1" applyAlignment="1">
      <alignment horizontal="center"/>
    </xf>
    <xf numFmtId="2" fontId="0" fillId="2" borderId="19" xfId="0" applyNumberFormat="1" applyFill="1" applyBorder="1" applyAlignment="1">
      <alignment horizontal="center"/>
    </xf>
    <xf numFmtId="49" fontId="0" fillId="0" borderId="23" xfId="0" applyNumberFormat="1" applyBorder="1" applyAlignment="1">
      <alignment horizontal="center"/>
    </xf>
    <xf numFmtId="49" fontId="0" fillId="0" borderId="19" xfId="0" applyNumberFormat="1" applyBorder="1" applyAlignment="1">
      <alignment horizontal="center"/>
    </xf>
    <xf numFmtId="164" fontId="0" fillId="0" borderId="19" xfId="0" applyNumberFormat="1" applyBorder="1" applyAlignment="1">
      <alignment horizontal="center"/>
    </xf>
    <xf numFmtId="2" fontId="0" fillId="0" borderId="19" xfId="0" applyNumberFormat="1" applyBorder="1" applyAlignment="1">
      <alignment horizontal="center"/>
    </xf>
    <xf numFmtId="49" fontId="0" fillId="0" borderId="20" xfId="0" applyNumberFormat="1" applyBorder="1" applyAlignment="1">
      <alignment horizontal="center"/>
    </xf>
    <xf numFmtId="49" fontId="0" fillId="0" borderId="21" xfId="0" applyNumberFormat="1" applyBorder="1" applyAlignment="1">
      <alignment horizontal="center"/>
    </xf>
    <xf numFmtId="164" fontId="0" fillId="0" borderId="21" xfId="0" applyNumberFormat="1" applyBorder="1" applyAlignment="1">
      <alignment horizontal="center"/>
    </xf>
    <xf numFmtId="2" fontId="0" fillId="0" borderId="21" xfId="0" applyNumberFormat="1" applyBorder="1" applyAlignment="1">
      <alignment horizontal="center"/>
    </xf>
    <xf numFmtId="10" fontId="0" fillId="0" borderId="17" xfId="0" applyNumberFormat="1" applyBorder="1"/>
    <xf numFmtId="10" fontId="0" fillId="4" borderId="7" xfId="0" applyNumberFormat="1" applyFill="1" applyBorder="1"/>
    <xf numFmtId="10" fontId="0" fillId="0" borderId="7" xfId="0" applyNumberFormat="1" applyBorder="1"/>
    <xf numFmtId="10" fontId="0" fillId="4" borderId="4" xfId="0" applyNumberFormat="1" applyFill="1" applyBorder="1"/>
    <xf numFmtId="10" fontId="0" fillId="2" borderId="24" xfId="0" applyNumberFormat="1" applyFill="1" applyBorder="1"/>
    <xf numFmtId="10" fontId="0" fillId="0" borderId="24" xfId="0" applyNumberFormat="1" applyBorder="1"/>
    <xf numFmtId="10" fontId="0" fillId="0" borderId="22" xfId="0" applyNumberFormat="1" applyBorder="1"/>
    <xf numFmtId="0" fontId="0" fillId="0" borderId="25" xfId="0" applyBorder="1" applyAlignment="1">
      <alignment horizontal="center"/>
    </xf>
    <xf numFmtId="10" fontId="0" fillId="0" borderId="17" xfId="0" applyNumberFormat="1" applyBorder="1" applyAlignment="1">
      <alignment horizontal="center"/>
    </xf>
    <xf numFmtId="10" fontId="0" fillId="0" borderId="25" xfId="0" applyNumberFormat="1" applyBorder="1" applyAlignment="1">
      <alignment horizontal="center"/>
    </xf>
    <xf numFmtId="1" fontId="0" fillId="0" borderId="17" xfId="0" applyNumberFormat="1" applyBorder="1"/>
    <xf numFmtId="1" fontId="2" fillId="2" borderId="17" xfId="0" applyNumberFormat="1" applyFont="1" applyFill="1" applyBorder="1"/>
    <xf numFmtId="0" fontId="2" fillId="2" borderId="17" xfId="0" applyFont="1" applyFill="1" applyBorder="1" applyAlignment="1">
      <alignment horizontal="left"/>
    </xf>
    <xf numFmtId="0" fontId="2" fillId="2" borderId="17" xfId="0" applyFont="1" applyFill="1" applyBorder="1"/>
    <xf numFmtId="0" fontId="0" fillId="8" borderId="17" xfId="0" applyFill="1" applyBorder="1"/>
    <xf numFmtId="164" fontId="2" fillId="2" borderId="17" xfId="0" applyNumberFormat="1" applyFont="1" applyFill="1" applyBorder="1"/>
    <xf numFmtId="164" fontId="0" fillId="0" borderId="17" xfId="0" applyNumberFormat="1" applyBorder="1" applyAlignment="1">
      <alignment horizontal="left"/>
    </xf>
    <xf numFmtId="0" fontId="2" fillId="8" borderId="17" xfId="0" applyFont="1" applyFill="1" applyBorder="1"/>
    <xf numFmtId="0" fontId="2" fillId="10" borderId="17" xfId="0" applyFont="1" applyFill="1" applyBorder="1" applyAlignment="1">
      <alignment horizontal="left"/>
    </xf>
    <xf numFmtId="164" fontId="2" fillId="10" borderId="17" xfId="0" applyNumberFormat="1" applyFont="1" applyFill="1" applyBorder="1" applyAlignment="1">
      <alignment horizontal="left"/>
    </xf>
    <xf numFmtId="0" fontId="2" fillId="10" borderId="17" xfId="0" applyFont="1" applyFill="1" applyBorder="1"/>
    <xf numFmtId="164" fontId="7" fillId="0" borderId="0" xfId="0" applyNumberFormat="1" applyFont="1" applyAlignment="1">
      <alignment horizontal="center"/>
    </xf>
    <xf numFmtId="164" fontId="2" fillId="0" borderId="17" xfId="0" applyNumberFormat="1" applyFont="1" applyBorder="1" applyAlignment="1">
      <alignment horizontal="left"/>
    </xf>
    <xf numFmtId="1" fontId="2" fillId="0" borderId="17" xfId="0" applyNumberFormat="1" applyFont="1" applyBorder="1"/>
    <xf numFmtId="164" fontId="2" fillId="2" borderId="19" xfId="0" applyNumberFormat="1" applyFont="1" applyFill="1" applyBorder="1" applyAlignment="1">
      <alignment horizontal="left"/>
    </xf>
    <xf numFmtId="1" fontId="2" fillId="2" borderId="19" xfId="0" applyNumberFormat="1" applyFont="1" applyFill="1" applyBorder="1"/>
    <xf numFmtId="2" fontId="2" fillId="8" borderId="0" xfId="0" applyNumberFormat="1" applyFont="1" applyFill="1"/>
    <xf numFmtId="164" fontId="2" fillId="2" borderId="17" xfId="0" applyNumberFormat="1" applyFont="1" applyFill="1" applyBorder="1" applyAlignment="1">
      <alignment horizontal="left"/>
    </xf>
    <xf numFmtId="165" fontId="0" fillId="0" borderId="17" xfId="0" applyNumberFormat="1" applyBorder="1"/>
    <xf numFmtId="0" fontId="0" fillId="0" borderId="17" xfId="0" applyBorder="1" applyAlignment="1">
      <alignment horizontal="left" indent="1"/>
    </xf>
    <xf numFmtId="1" fontId="3" fillId="3" borderId="6" xfId="0" applyNumberFormat="1" applyFont="1" applyFill="1" applyBorder="1" applyAlignment="1">
      <alignment horizontal="center"/>
    </xf>
    <xf numFmtId="1" fontId="0" fillId="4" borderId="6" xfId="0" applyNumberFormat="1" applyFill="1" applyBorder="1" applyAlignment="1">
      <alignment horizontal="center"/>
    </xf>
    <xf numFmtId="1" fontId="0" fillId="0" borderId="6" xfId="0" applyNumberFormat="1" applyBorder="1" applyAlignment="1">
      <alignment horizontal="center"/>
    </xf>
    <xf numFmtId="1" fontId="0" fillId="4" borderId="3" xfId="0" applyNumberFormat="1" applyFill="1" applyBorder="1" applyAlignment="1">
      <alignment horizontal="center"/>
    </xf>
    <xf numFmtId="10" fontId="3" fillId="3" borderId="5" xfId="0" applyNumberFormat="1" applyFont="1" applyFill="1" applyBorder="1" applyAlignment="1">
      <alignment horizontal="center"/>
    </xf>
    <xf numFmtId="1" fontId="3" fillId="3" borderId="5" xfId="0" applyNumberFormat="1" applyFont="1" applyFill="1" applyBorder="1" applyAlignment="1">
      <alignment horizontal="center"/>
    </xf>
    <xf numFmtId="49" fontId="2" fillId="12" borderId="17" xfId="0" applyNumberFormat="1" applyFont="1" applyFill="1" applyBorder="1"/>
    <xf numFmtId="164" fontId="2" fillId="12" borderId="17" xfId="0" applyNumberFormat="1" applyFont="1" applyFill="1" applyBorder="1"/>
    <xf numFmtId="10" fontId="2" fillId="13" borderId="17" xfId="0" applyNumberFormat="1" applyFont="1" applyFill="1" applyBorder="1"/>
    <xf numFmtId="49" fontId="0" fillId="14" borderId="17" xfId="0" applyNumberFormat="1" applyFill="1" applyBorder="1"/>
    <xf numFmtId="164" fontId="0" fillId="14" borderId="17" xfId="0" applyNumberFormat="1" applyFill="1" applyBorder="1"/>
    <xf numFmtId="49" fontId="0" fillId="15" borderId="17" xfId="0" applyNumberFormat="1" applyFill="1" applyBorder="1"/>
    <xf numFmtId="164" fontId="0" fillId="15" borderId="17" xfId="0" applyNumberFormat="1" applyFill="1" applyBorder="1"/>
    <xf numFmtId="166" fontId="2" fillId="13" borderId="17" xfId="0" applyNumberFormat="1" applyFont="1" applyFill="1" applyBorder="1"/>
    <xf numFmtId="166" fontId="0" fillId="0" borderId="17" xfId="0" applyNumberFormat="1" applyBorder="1"/>
    <xf numFmtId="2" fontId="2" fillId="8" borderId="17" xfId="0" applyNumberFormat="1" applyFont="1" applyFill="1" applyBorder="1"/>
    <xf numFmtId="10" fontId="2" fillId="8" borderId="17" xfId="0" applyNumberFormat="1" applyFont="1" applyFill="1" applyBorder="1"/>
    <xf numFmtId="2" fontId="2" fillId="2" borderId="17" xfId="0" applyNumberFormat="1" applyFont="1" applyFill="1" applyBorder="1"/>
    <xf numFmtId="0" fontId="4" fillId="5" borderId="1" xfId="0" applyFont="1" applyFill="1" applyBorder="1" applyAlignment="1">
      <alignment horizontal="center"/>
    </xf>
    <xf numFmtId="0" fontId="7" fillId="5" borderId="0" xfId="0" applyFont="1" applyFill="1" applyAlignment="1">
      <alignment horizontal="center"/>
    </xf>
    <xf numFmtId="0" fontId="7" fillId="5" borderId="17" xfId="0" applyFont="1" applyFill="1" applyBorder="1" applyAlignment="1">
      <alignment horizontal="center"/>
    </xf>
    <xf numFmtId="0" fontId="4" fillId="5" borderId="0" xfId="0" applyFont="1" applyFill="1" applyAlignment="1">
      <alignment horizontal="center"/>
    </xf>
    <xf numFmtId="0" fontId="7" fillId="5" borderId="18" xfId="0" applyFont="1" applyFill="1" applyBorder="1" applyAlignment="1">
      <alignment horizontal="center"/>
    </xf>
    <xf numFmtId="0" fontId="4" fillId="5" borderId="18" xfId="0" applyFont="1" applyFill="1" applyBorder="1" applyAlignment="1">
      <alignment horizontal="center"/>
    </xf>
    <xf numFmtId="0" fontId="7" fillId="11" borderId="17" xfId="0" applyFont="1" applyFill="1" applyBorder="1" applyAlignment="1">
      <alignment horizontal="center"/>
    </xf>
    <xf numFmtId="0" fontId="5" fillId="5" borderId="18" xfId="0" applyFont="1" applyFill="1" applyBorder="1" applyAlignment="1">
      <alignment horizontal="center"/>
    </xf>
    <xf numFmtId="0" fontId="6" fillId="5" borderId="0" xfId="0" applyFont="1" applyFill="1" applyAlignment="1">
      <alignment horizontal="center"/>
    </xf>
    <xf numFmtId="0" fontId="4" fillId="5" borderId="17" xfId="0" applyFont="1" applyFill="1" applyBorder="1" applyAlignment="1">
      <alignment horizontal="center"/>
    </xf>
    <xf numFmtId="0" fontId="5" fillId="5" borderId="0" xfId="0" applyFont="1" applyFill="1" applyAlignment="1">
      <alignment horizontal="center"/>
    </xf>
  </cellXfs>
  <cellStyles count="2">
    <cellStyle name="Normal" xfId="0" builtinId="0"/>
    <cellStyle name="Percent" xfId="1" builtinId="5"/>
  </cellStyles>
  <dxfs count="64">
    <dxf>
      <fill>
        <patternFill>
          <bgColor theme="6" tint="0.79998168889431442"/>
        </patternFill>
      </fill>
    </dxf>
    <dxf>
      <fill>
        <patternFill patternType="none">
          <bgColor auto="1"/>
        </patternFill>
      </fill>
    </dxf>
    <dxf>
      <fill>
        <patternFill patternType="none">
          <bgColor auto="1"/>
        </patternFill>
      </fill>
    </dxf>
    <dxf>
      <font>
        <b/>
      </font>
    </dxf>
    <dxf>
      <font>
        <b/>
      </font>
    </dxf>
    <dxf>
      <fill>
        <patternFill patternType="solid">
          <bgColor theme="6" tint="0.79998168889431442"/>
        </patternFill>
      </fill>
    </dxf>
    <dxf>
      <fill>
        <patternFill patternType="solid">
          <bgColor theme="6"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dxf>
    <dxf>
      <numFmt numFmtId="30" formatCode="@"/>
    </dxf>
    <dxf>
      <numFmt numFmtId="30" formatCode="@"/>
    </dxf>
    <dxf>
      <numFmt numFmtId="1" formatCode="0"/>
    </dxf>
    <dxf>
      <numFmt numFmtId="30" formatCode="@"/>
    </dxf>
    <dxf>
      <numFmt numFmtId="164" formatCode="[$-1010000]d/m/yyyy;@"/>
    </dxf>
    <dxf>
      <numFmt numFmtId="164" formatCode="[$-1010000]d/m/yyyy;@"/>
    </dxf>
    <dxf>
      <numFmt numFmtId="30" formatCode="@"/>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14" formatCode="0.00%"/>
    </dxf>
    <dxf>
      <numFmt numFmtId="14"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[Social_Media_Internship_Assignment_Solution_Harsh_Srivastav.xlsx]Task_2_Analysis!PivotTable1</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Likes, Shares, and Comments by Platform and Content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12700">
              <a:solidFill>
                <a:schemeClr val="lt2"/>
              </a:solidFill>
              <a:round/>
            </a:ln>
            <a:effectLst>
              <a:outerShdw blurRad="50800" dist="38100" dir="14700000" algn="t"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circle"/>
          <c:size val="6"/>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w="12700">
              <a:solidFill>
                <a:schemeClr val="lt2"/>
              </a:solidFill>
              <a:round/>
            </a:ln>
            <a:effectLst>
              <a:outerShdw blurRad="50800" dist="38100" dir="14700000" algn="t"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circle"/>
          <c:size val="6"/>
          <c:spPr>
            <a:gradFill rotWithShape="1">
              <a:gsLst>
                <a:gs pos="0">
                  <a:schemeClr val="accent3">
                    <a:tint val="60000"/>
                    <a:satMod val="160000"/>
                  </a:schemeClr>
                </a:gs>
                <a:gs pos="46000">
                  <a:schemeClr val="accent3">
                    <a:tint val="86000"/>
                    <a:satMod val="160000"/>
                  </a:schemeClr>
                </a:gs>
                <a:gs pos="100000">
                  <a:schemeClr val="accent3">
                    <a:shade val="40000"/>
                    <a:satMod val="160000"/>
                  </a:schemeClr>
                </a:gs>
              </a:gsLst>
              <a:path path="circle">
                <a:fillToRect l="50000" t="155000" r="50000" b="-55000"/>
              </a:path>
            </a:gradFill>
            <a:ln w="12700">
              <a:solidFill>
                <a:schemeClr val="lt2"/>
              </a:solidFill>
              <a:round/>
            </a:ln>
            <a:effectLst>
              <a:outerShdw blurRad="50800" dist="38100" dir="14700000" algn="t"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Task_2_Analysis!$B$21</c:f>
              <c:strCache>
                <c:ptCount val="1"/>
                <c:pt idx="0">
                  <c:v>Sum of Likes</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cat>
            <c:multiLvlStrRef>
              <c:f>Task_2_Analysis!$A$22:$A$31</c:f>
              <c:multiLvlStrCache>
                <c:ptCount val="6"/>
                <c:lvl>
                  <c:pt idx="0">
                    <c:v>Story</c:v>
                  </c:pt>
                  <c:pt idx="1">
                    <c:v>Text</c:v>
                  </c:pt>
                  <c:pt idx="2">
                    <c:v>Story</c:v>
                  </c:pt>
                  <c:pt idx="3">
                    <c:v>Text</c:v>
                  </c:pt>
                  <c:pt idx="4">
                    <c:v>Reel</c:v>
                  </c:pt>
                  <c:pt idx="5">
                    <c:v>Text</c:v>
                  </c:pt>
                </c:lvl>
                <c:lvl>
                  <c:pt idx="0">
                    <c:v>Instagram</c:v>
                  </c:pt>
                  <c:pt idx="2">
                    <c:v>Twitter</c:v>
                  </c:pt>
                  <c:pt idx="4">
                    <c:v>YouTube</c:v>
                  </c:pt>
                </c:lvl>
              </c:multiLvlStrCache>
            </c:multiLvlStrRef>
          </c:cat>
          <c:val>
            <c:numRef>
              <c:f>Task_2_Analysis!$B$22:$B$31</c:f>
              <c:numCache>
                <c:formatCode>0.00</c:formatCode>
                <c:ptCount val="6"/>
                <c:pt idx="0">
                  <c:v>61815</c:v>
                </c:pt>
                <c:pt idx="1">
                  <c:v>189658</c:v>
                </c:pt>
                <c:pt idx="2">
                  <c:v>272103</c:v>
                </c:pt>
                <c:pt idx="3">
                  <c:v>178192</c:v>
                </c:pt>
                <c:pt idx="4">
                  <c:v>89871</c:v>
                </c:pt>
                <c:pt idx="5">
                  <c:v>105536</c:v>
                </c:pt>
              </c:numCache>
            </c:numRef>
          </c:val>
          <c:extLst>
            <c:ext xmlns:c16="http://schemas.microsoft.com/office/drawing/2014/chart" uri="{C3380CC4-5D6E-409C-BE32-E72D297353CC}">
              <c16:uniqueId val="{00000000-B8FF-4430-AABD-E0E2201A6764}"/>
            </c:ext>
          </c:extLst>
        </c:ser>
        <c:ser>
          <c:idx val="1"/>
          <c:order val="1"/>
          <c:tx>
            <c:strRef>
              <c:f>Task_2_Analysis!$C$21</c:f>
              <c:strCache>
                <c:ptCount val="1"/>
                <c:pt idx="0">
                  <c:v>Sum of Shares</c:v>
                </c:pt>
              </c:strCache>
            </c:strRef>
          </c:tx>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cat>
            <c:multiLvlStrRef>
              <c:f>Task_2_Analysis!$A$22:$A$31</c:f>
              <c:multiLvlStrCache>
                <c:ptCount val="6"/>
                <c:lvl>
                  <c:pt idx="0">
                    <c:v>Story</c:v>
                  </c:pt>
                  <c:pt idx="1">
                    <c:v>Text</c:v>
                  </c:pt>
                  <c:pt idx="2">
                    <c:v>Story</c:v>
                  </c:pt>
                  <c:pt idx="3">
                    <c:v>Text</c:v>
                  </c:pt>
                  <c:pt idx="4">
                    <c:v>Reel</c:v>
                  </c:pt>
                  <c:pt idx="5">
                    <c:v>Text</c:v>
                  </c:pt>
                </c:lvl>
                <c:lvl>
                  <c:pt idx="0">
                    <c:v>Instagram</c:v>
                  </c:pt>
                  <c:pt idx="2">
                    <c:v>Twitter</c:v>
                  </c:pt>
                  <c:pt idx="4">
                    <c:v>YouTube</c:v>
                  </c:pt>
                </c:lvl>
              </c:multiLvlStrCache>
            </c:multiLvlStrRef>
          </c:cat>
          <c:val>
            <c:numRef>
              <c:f>Task_2_Analysis!$C$22:$C$31</c:f>
              <c:numCache>
                <c:formatCode>0.00</c:formatCode>
                <c:ptCount val="6"/>
                <c:pt idx="0">
                  <c:v>7993</c:v>
                </c:pt>
                <c:pt idx="1">
                  <c:v>21292</c:v>
                </c:pt>
                <c:pt idx="2">
                  <c:v>26494</c:v>
                </c:pt>
                <c:pt idx="3">
                  <c:v>19004</c:v>
                </c:pt>
                <c:pt idx="4">
                  <c:v>9086</c:v>
                </c:pt>
                <c:pt idx="5">
                  <c:v>9532</c:v>
                </c:pt>
              </c:numCache>
            </c:numRef>
          </c:val>
          <c:extLst>
            <c:ext xmlns:c16="http://schemas.microsoft.com/office/drawing/2014/chart" uri="{C3380CC4-5D6E-409C-BE32-E72D297353CC}">
              <c16:uniqueId val="{00000001-B8FF-4430-AABD-E0E2201A6764}"/>
            </c:ext>
          </c:extLst>
        </c:ser>
        <c:ser>
          <c:idx val="2"/>
          <c:order val="2"/>
          <c:tx>
            <c:strRef>
              <c:f>Task_2_Analysis!$D$21</c:f>
              <c:strCache>
                <c:ptCount val="1"/>
                <c:pt idx="0">
                  <c:v>Sum of Comments</c:v>
                </c:pt>
              </c:strCache>
            </c:strRef>
          </c:tx>
          <c:spPr>
            <a:gradFill rotWithShape="1">
              <a:gsLst>
                <a:gs pos="0">
                  <a:schemeClr val="accent3">
                    <a:tint val="60000"/>
                    <a:satMod val="160000"/>
                  </a:schemeClr>
                </a:gs>
                <a:gs pos="46000">
                  <a:schemeClr val="accent3">
                    <a:tint val="86000"/>
                    <a:satMod val="160000"/>
                  </a:schemeClr>
                </a:gs>
                <a:gs pos="100000">
                  <a:schemeClr val="accent3">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cat>
            <c:multiLvlStrRef>
              <c:f>Task_2_Analysis!$A$22:$A$31</c:f>
              <c:multiLvlStrCache>
                <c:ptCount val="6"/>
                <c:lvl>
                  <c:pt idx="0">
                    <c:v>Story</c:v>
                  </c:pt>
                  <c:pt idx="1">
                    <c:v>Text</c:v>
                  </c:pt>
                  <c:pt idx="2">
                    <c:v>Story</c:v>
                  </c:pt>
                  <c:pt idx="3">
                    <c:v>Text</c:v>
                  </c:pt>
                  <c:pt idx="4">
                    <c:v>Reel</c:v>
                  </c:pt>
                  <c:pt idx="5">
                    <c:v>Text</c:v>
                  </c:pt>
                </c:lvl>
                <c:lvl>
                  <c:pt idx="0">
                    <c:v>Instagram</c:v>
                  </c:pt>
                  <c:pt idx="2">
                    <c:v>Twitter</c:v>
                  </c:pt>
                  <c:pt idx="4">
                    <c:v>YouTube</c:v>
                  </c:pt>
                </c:lvl>
              </c:multiLvlStrCache>
            </c:multiLvlStrRef>
          </c:cat>
          <c:val>
            <c:numRef>
              <c:f>Task_2_Analysis!$D$22:$D$31</c:f>
              <c:numCache>
                <c:formatCode>0.00</c:formatCode>
                <c:ptCount val="6"/>
                <c:pt idx="0">
                  <c:v>5656</c:v>
                </c:pt>
                <c:pt idx="1">
                  <c:v>15162</c:v>
                </c:pt>
                <c:pt idx="2">
                  <c:v>18442</c:v>
                </c:pt>
                <c:pt idx="3">
                  <c:v>13135</c:v>
                </c:pt>
                <c:pt idx="4">
                  <c:v>6826</c:v>
                </c:pt>
                <c:pt idx="5">
                  <c:v>7845</c:v>
                </c:pt>
              </c:numCache>
            </c:numRef>
          </c:val>
          <c:extLst>
            <c:ext xmlns:c16="http://schemas.microsoft.com/office/drawing/2014/chart" uri="{C3380CC4-5D6E-409C-BE32-E72D297353CC}">
              <c16:uniqueId val="{00000002-B8FF-4430-AABD-E0E2201A6764}"/>
            </c:ext>
          </c:extLst>
        </c:ser>
        <c:dLbls>
          <c:showLegendKey val="0"/>
          <c:showVal val="0"/>
          <c:showCatName val="0"/>
          <c:showSerName val="0"/>
          <c:showPercent val="0"/>
          <c:showBubbleSize val="0"/>
        </c:dLbls>
        <c:gapWidth val="100"/>
        <c:overlap val="-24"/>
        <c:axId val="902350080"/>
        <c:axId val="902349600"/>
      </c:barChart>
      <c:catAx>
        <c:axId val="9023500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02349600"/>
        <c:crosses val="autoZero"/>
        <c:auto val="1"/>
        <c:lblAlgn val="ctr"/>
        <c:lblOffset val="100"/>
        <c:noMultiLvlLbl val="0"/>
      </c:catAx>
      <c:valAx>
        <c:axId val="902349600"/>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0235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[Social_Media_Internship_Assignment_Solution_Harsh_Srivastav.xlsx]Task_2_Analysis!PivotTable9</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Clicks per post by Hashtag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12700">
              <a:solidFill>
                <a:schemeClr val="lt2"/>
              </a:solidFill>
              <a:round/>
            </a:ln>
            <a:effectLst>
              <a:outerShdw blurRad="50800" dist="38100" dir="14700000" algn="t"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Task_2_Analysis!$B$49</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Task_2_Analysis!$A$50:$A$55</c:f>
              <c:strCache>
                <c:ptCount val="5"/>
                <c:pt idx="0">
                  <c:v>#DiscoverWeekly</c:v>
                </c:pt>
                <c:pt idx="1">
                  <c:v>#MusicForEveryone</c:v>
                </c:pt>
                <c:pt idx="2">
                  <c:v>#NowPlaying</c:v>
                </c:pt>
                <c:pt idx="3">
                  <c:v>#SoundtrackOfLife</c:v>
                </c:pt>
                <c:pt idx="4">
                  <c:v>#SpotifyWrapped</c:v>
                </c:pt>
              </c:strCache>
            </c:strRef>
          </c:cat>
          <c:val>
            <c:numRef>
              <c:f>Task_2_Analysis!$B$50:$B$55</c:f>
              <c:numCache>
                <c:formatCode>0.00</c:formatCode>
                <c:ptCount val="5"/>
                <c:pt idx="0">
                  <c:v>197.16923076923078</c:v>
                </c:pt>
                <c:pt idx="1">
                  <c:v>183.47761194029852</c:v>
                </c:pt>
                <c:pt idx="2">
                  <c:v>186.72027972027973</c:v>
                </c:pt>
                <c:pt idx="3">
                  <c:v>192.45871559633028</c:v>
                </c:pt>
                <c:pt idx="4">
                  <c:v>208.47058823529412</c:v>
                </c:pt>
              </c:numCache>
            </c:numRef>
          </c:val>
          <c:extLst>
            <c:ext xmlns:c16="http://schemas.microsoft.com/office/drawing/2014/chart" uri="{C3380CC4-5D6E-409C-BE32-E72D297353CC}">
              <c16:uniqueId val="{00000000-5D8A-4A8A-BF8D-C2D986A7DAFD}"/>
            </c:ext>
          </c:extLst>
        </c:ser>
        <c:dLbls>
          <c:dLblPos val="outEnd"/>
          <c:showLegendKey val="0"/>
          <c:showVal val="1"/>
          <c:showCatName val="0"/>
          <c:showSerName val="0"/>
          <c:showPercent val="0"/>
          <c:showBubbleSize val="0"/>
        </c:dLbls>
        <c:gapWidth val="100"/>
        <c:overlap val="-24"/>
        <c:axId val="132463248"/>
        <c:axId val="132464208"/>
      </c:barChart>
      <c:catAx>
        <c:axId val="1324632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Hashtags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464208"/>
        <c:crosses val="autoZero"/>
        <c:auto val="1"/>
        <c:lblAlgn val="ctr"/>
        <c:lblOffset val="100"/>
        <c:noMultiLvlLbl val="0"/>
      </c:catAx>
      <c:valAx>
        <c:axId val="13246420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Average of Clicks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463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[Social_Media_Internship_Assignment_Solution_Harsh_Srivastav.xlsx]All_Task_3_Analysis!PivotTable6</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Weekly Growth Comparison Chart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6"/>
            </a:solidFill>
            <a:round/>
          </a:ln>
          <a:effectLst>
            <a:outerShdw blurRad="53975" dist="41275" dir="14700000" algn="t" rotWithShape="0">
              <a:srgbClr val="000000">
                <a:alpha val="60000"/>
              </a:srgbClr>
            </a:outerShdw>
          </a:effectLst>
        </c:spPr>
        <c:marker>
          <c:symbol val="circle"/>
          <c:size val="6"/>
          <c:spPr>
            <a:gradFill rotWithShape="1">
              <a:gsLst>
                <a:gs pos="0">
                  <a:schemeClr val="accent6">
                    <a:tint val="60000"/>
                    <a:satMod val="160000"/>
                  </a:schemeClr>
                </a:gs>
                <a:gs pos="46000">
                  <a:schemeClr val="accent6">
                    <a:tint val="86000"/>
                    <a:satMod val="160000"/>
                  </a:schemeClr>
                </a:gs>
                <a:gs pos="100000">
                  <a:schemeClr val="accent6">
                    <a:shade val="40000"/>
                    <a:satMod val="160000"/>
                  </a:schemeClr>
                </a:gs>
              </a:gsLst>
              <a:path path="circle">
                <a:fillToRect l="50000" t="155000" r="50000" b="-55000"/>
              </a:path>
            </a:gradFill>
            <a:ln w="9525">
              <a:solidFill>
                <a:schemeClr val="accent6"/>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3975" dist="41275" dir="14700000" algn="t" rotWithShape="0">
              <a:srgbClr val="000000">
                <a:alpha val="60000"/>
              </a:srgbClr>
            </a:outerShdw>
          </a:effectLst>
        </c:spPr>
        <c:marker>
          <c:symbol val="circle"/>
          <c:size val="6"/>
          <c:spPr>
            <a:gradFill rotWithShape="1">
              <a:gsLst>
                <a:gs pos="0">
                  <a:schemeClr val="accent5">
                    <a:tint val="60000"/>
                    <a:satMod val="160000"/>
                  </a:schemeClr>
                </a:gs>
                <a:gs pos="46000">
                  <a:schemeClr val="accent5">
                    <a:tint val="86000"/>
                    <a:satMod val="160000"/>
                  </a:schemeClr>
                </a:gs>
                <a:gs pos="100000">
                  <a:schemeClr val="accent5">
                    <a:shade val="40000"/>
                    <a:satMod val="160000"/>
                  </a:schemeClr>
                </a:gs>
              </a:gsLst>
              <a:path path="circle">
                <a:fillToRect l="50000" t="155000" r="50000" b="-55000"/>
              </a:path>
            </a:gradFill>
            <a:ln w="9525">
              <a:solidFill>
                <a:schemeClr val="accent5"/>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3975" dist="41275" dir="14700000" algn="t" rotWithShape="0">
              <a:srgbClr val="000000">
                <a:alpha val="60000"/>
              </a:srgbClr>
            </a:outerShdw>
          </a:effectLst>
        </c:spPr>
        <c:marker>
          <c:symbol val="circle"/>
          <c:size val="6"/>
          <c:spPr>
            <a:gradFill rotWithShape="1">
              <a:gsLst>
                <a:gs pos="0">
                  <a:schemeClr val="accent4">
                    <a:tint val="60000"/>
                    <a:satMod val="160000"/>
                  </a:schemeClr>
                </a:gs>
                <a:gs pos="46000">
                  <a:schemeClr val="accent4">
                    <a:tint val="86000"/>
                    <a:satMod val="160000"/>
                  </a:schemeClr>
                </a:gs>
                <a:gs pos="100000">
                  <a:schemeClr val="accent4">
                    <a:shade val="40000"/>
                    <a:satMod val="160000"/>
                  </a:schemeClr>
                </a:gs>
              </a:gsLst>
              <a:path path="circle">
                <a:fillToRect l="50000" t="155000" r="50000" b="-55000"/>
              </a:path>
            </a:gradFill>
            <a:ln w="9525">
              <a:solidFill>
                <a:schemeClr val="accent4"/>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All_Task_3_Analysis!$B$25:$B$26</c:f>
              <c:strCache>
                <c:ptCount val="1"/>
                <c:pt idx="0">
                  <c:v>Instagram</c:v>
                </c:pt>
              </c:strCache>
            </c:strRef>
          </c:tx>
          <c:spPr>
            <a:ln w="34925" cap="rnd">
              <a:solidFill>
                <a:schemeClr val="accent6"/>
              </a:solidFill>
              <a:round/>
            </a:ln>
            <a:effectLst>
              <a:outerShdw blurRad="53975" dist="41275" dir="14700000" algn="t" rotWithShape="0">
                <a:srgbClr val="000000">
                  <a:alpha val="60000"/>
                </a:srgbClr>
              </a:outerShdw>
            </a:effectLst>
          </c:spPr>
          <c:marker>
            <c:symbol val="circle"/>
            <c:size val="6"/>
            <c:spPr>
              <a:gradFill rotWithShape="1">
                <a:gsLst>
                  <a:gs pos="0">
                    <a:schemeClr val="accent6">
                      <a:tint val="60000"/>
                      <a:satMod val="160000"/>
                    </a:schemeClr>
                  </a:gs>
                  <a:gs pos="46000">
                    <a:schemeClr val="accent6">
                      <a:tint val="86000"/>
                      <a:satMod val="160000"/>
                    </a:schemeClr>
                  </a:gs>
                  <a:gs pos="100000">
                    <a:schemeClr val="accent6">
                      <a:shade val="40000"/>
                      <a:satMod val="160000"/>
                    </a:schemeClr>
                  </a:gs>
                </a:gsLst>
                <a:path path="circle">
                  <a:fillToRect l="50000" t="155000" r="50000" b="-55000"/>
                </a:path>
              </a:gradFill>
              <a:ln w="9525">
                <a:solidFill>
                  <a:schemeClr val="accent6"/>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cat>
            <c:strRef>
              <c:f>All_Task_3_Analysis!$A$27:$A$94</c:f>
              <c:strCache>
                <c:ptCount val="67"/>
                <c:pt idx="0">
                  <c:v>3/6/2024</c:v>
                </c:pt>
                <c:pt idx="1">
                  <c:v>10/6/2024</c:v>
                </c:pt>
                <c:pt idx="2">
                  <c:v>17/6/2024</c:v>
                </c:pt>
                <c:pt idx="3">
                  <c:v>24/6/2024</c:v>
                </c:pt>
                <c:pt idx="4">
                  <c:v>1/7/2024</c:v>
                </c:pt>
                <c:pt idx="5">
                  <c:v>8/7/2024</c:v>
                </c:pt>
                <c:pt idx="6">
                  <c:v>15/7/2024</c:v>
                </c:pt>
                <c:pt idx="7">
                  <c:v>22/7/2024</c:v>
                </c:pt>
                <c:pt idx="8">
                  <c:v>29/7/2024</c:v>
                </c:pt>
                <c:pt idx="9">
                  <c:v>5/8/2024</c:v>
                </c:pt>
                <c:pt idx="10">
                  <c:v>12/8/2024</c:v>
                </c:pt>
                <c:pt idx="11">
                  <c:v>19/8/2024</c:v>
                </c:pt>
                <c:pt idx="12">
                  <c:v>26/8/2024</c:v>
                </c:pt>
                <c:pt idx="13">
                  <c:v>2/9/2024</c:v>
                </c:pt>
                <c:pt idx="14">
                  <c:v>9/9/2024</c:v>
                </c:pt>
                <c:pt idx="15">
                  <c:v>16/9/2024</c:v>
                </c:pt>
                <c:pt idx="16">
                  <c:v>23/9/2024</c:v>
                </c:pt>
                <c:pt idx="17">
                  <c:v>30/9/2024</c:v>
                </c:pt>
                <c:pt idx="18">
                  <c:v>7/10/2024</c:v>
                </c:pt>
                <c:pt idx="19">
                  <c:v>14/10/2024</c:v>
                </c:pt>
                <c:pt idx="20">
                  <c:v>21/10/2024</c:v>
                </c:pt>
                <c:pt idx="21">
                  <c:v>28/10/2024</c:v>
                </c:pt>
                <c:pt idx="22">
                  <c:v>4/11/2024</c:v>
                </c:pt>
                <c:pt idx="23">
                  <c:v>11/11/2024</c:v>
                </c:pt>
                <c:pt idx="24">
                  <c:v>18/11/2024</c:v>
                </c:pt>
                <c:pt idx="25">
                  <c:v>25/11/2024</c:v>
                </c:pt>
                <c:pt idx="26">
                  <c:v>2/12/2024</c:v>
                </c:pt>
                <c:pt idx="27">
                  <c:v>9/12/2024</c:v>
                </c:pt>
                <c:pt idx="28">
                  <c:v>16/12/2024</c:v>
                </c:pt>
                <c:pt idx="29">
                  <c:v>23/12/2024</c:v>
                </c:pt>
                <c:pt idx="30">
                  <c:v>30/12/2024</c:v>
                </c:pt>
                <c:pt idx="31">
                  <c:v>6/1/2025</c:v>
                </c:pt>
                <c:pt idx="32">
                  <c:v>13/1/2025</c:v>
                </c:pt>
                <c:pt idx="33">
                  <c:v>20/1/2025</c:v>
                </c:pt>
                <c:pt idx="34">
                  <c:v>27/1/2025</c:v>
                </c:pt>
                <c:pt idx="35">
                  <c:v>3/2/2025</c:v>
                </c:pt>
                <c:pt idx="36">
                  <c:v>10/2/2025</c:v>
                </c:pt>
                <c:pt idx="37">
                  <c:v>17/2/2025</c:v>
                </c:pt>
                <c:pt idx="38">
                  <c:v>24/2/2025</c:v>
                </c:pt>
                <c:pt idx="39">
                  <c:v>3/3/2025</c:v>
                </c:pt>
                <c:pt idx="40">
                  <c:v>10/3/2025</c:v>
                </c:pt>
                <c:pt idx="41">
                  <c:v>17/3/2025</c:v>
                </c:pt>
                <c:pt idx="42">
                  <c:v>24/3/2025</c:v>
                </c:pt>
                <c:pt idx="43">
                  <c:v>31/3/2025</c:v>
                </c:pt>
                <c:pt idx="44">
                  <c:v>7/4/2025</c:v>
                </c:pt>
                <c:pt idx="45">
                  <c:v>14/4/2025</c:v>
                </c:pt>
                <c:pt idx="46">
                  <c:v>21/4/2025</c:v>
                </c:pt>
                <c:pt idx="47">
                  <c:v>28/4/2025</c:v>
                </c:pt>
                <c:pt idx="48">
                  <c:v>5/5/2025</c:v>
                </c:pt>
                <c:pt idx="49">
                  <c:v>12/5/2025</c:v>
                </c:pt>
                <c:pt idx="50">
                  <c:v>19/5/2025</c:v>
                </c:pt>
                <c:pt idx="51">
                  <c:v>26/5/2025</c:v>
                </c:pt>
                <c:pt idx="52">
                  <c:v>2/6/2025</c:v>
                </c:pt>
                <c:pt idx="53">
                  <c:v>9/6/2025</c:v>
                </c:pt>
                <c:pt idx="54">
                  <c:v>16/6/2025</c:v>
                </c:pt>
                <c:pt idx="55">
                  <c:v>23/6/2025</c:v>
                </c:pt>
                <c:pt idx="56">
                  <c:v>30/6/2025</c:v>
                </c:pt>
                <c:pt idx="57">
                  <c:v>7/7/2025</c:v>
                </c:pt>
                <c:pt idx="58">
                  <c:v>14/7/2025</c:v>
                </c:pt>
                <c:pt idx="59">
                  <c:v>21/7/2025</c:v>
                </c:pt>
                <c:pt idx="60">
                  <c:v>28/7/2025</c:v>
                </c:pt>
                <c:pt idx="61">
                  <c:v>4/8/2025</c:v>
                </c:pt>
                <c:pt idx="62">
                  <c:v>11/8/2025</c:v>
                </c:pt>
                <c:pt idx="63">
                  <c:v>18/8/2025</c:v>
                </c:pt>
                <c:pt idx="64">
                  <c:v>25/8/2025</c:v>
                </c:pt>
                <c:pt idx="65">
                  <c:v>1/9/2025</c:v>
                </c:pt>
                <c:pt idx="66">
                  <c:v>8/9/2025</c:v>
                </c:pt>
              </c:strCache>
            </c:strRef>
          </c:cat>
          <c:val>
            <c:numRef>
              <c:f>All_Task_3_Analysis!$B$27:$B$94</c:f>
              <c:numCache>
                <c:formatCode>0.00%</c:formatCode>
                <c:ptCount val="67"/>
                <c:pt idx="0">
                  <c:v>1.0709526179733787E-2</c:v>
                </c:pt>
                <c:pt idx="1">
                  <c:v>1.0035253152237385E-2</c:v>
                </c:pt>
                <c:pt idx="2">
                  <c:v>6.1532043593888509E-3</c:v>
                </c:pt>
                <c:pt idx="3">
                  <c:v>7.0194756038813571E-3</c:v>
                </c:pt>
                <c:pt idx="4">
                  <c:v>3.9974246283906723E-3</c:v>
                </c:pt>
                <c:pt idx="5">
                  <c:v>1.9610667968164271E-3</c:v>
                </c:pt>
                <c:pt idx="6">
                  <c:v>2.1159343412017798E-3</c:v>
                </c:pt>
                <c:pt idx="7">
                  <c:v>3.8800515380583087E-3</c:v>
                </c:pt>
                <c:pt idx="8">
                  <c:v>2.3089717768720206E-3</c:v>
                </c:pt>
                <c:pt idx="9">
                  <c:v>6.7435554935305723E-3</c:v>
                </c:pt>
                <c:pt idx="10">
                  <c:v>1.4216285431581398E-2</c:v>
                </c:pt>
                <c:pt idx="11">
                  <c:v>2.5711521816608116E-3</c:v>
                </c:pt>
                <c:pt idx="12">
                  <c:v>5.2519335029163131E-3</c:v>
                </c:pt>
                <c:pt idx="13">
                  <c:v>1.5378321642822803E-3</c:v>
                </c:pt>
                <c:pt idx="14">
                  <c:v>1.7288453918263881E-3</c:v>
                </c:pt>
                <c:pt idx="15">
                  <c:v>1.8947546272643525E-3</c:v>
                </c:pt>
                <c:pt idx="16">
                  <c:v>1.3784135240572171E-2</c:v>
                </c:pt>
                <c:pt idx="17">
                  <c:v>3.0190531054641659E-3</c:v>
                </c:pt>
                <c:pt idx="18">
                  <c:v>1.7507375647522346E-3</c:v>
                </c:pt>
                <c:pt idx="19">
                  <c:v>4.7398149771776844E-3</c:v>
                </c:pt>
                <c:pt idx="20">
                  <c:v>1.0915497012055407E-2</c:v>
                </c:pt>
                <c:pt idx="21">
                  <c:v>3.8051035059458792E-3</c:v>
                </c:pt>
                <c:pt idx="22">
                  <c:v>3.6781918718691762E-3</c:v>
                </c:pt>
                <c:pt idx="23">
                  <c:v>3.9281193313061976E-3</c:v>
                </c:pt>
                <c:pt idx="24">
                  <c:v>2.741648314656868E-3</c:v>
                </c:pt>
                <c:pt idx="25">
                  <c:v>1.2759550523566889E-3</c:v>
                </c:pt>
                <c:pt idx="26">
                  <c:v>4.7176696580273365E-3</c:v>
                </c:pt>
                <c:pt idx="27">
                  <c:v>1.7677812464738406E-3</c:v>
                </c:pt>
                <c:pt idx="28">
                  <c:v>6.506669773402458E-3</c:v>
                </c:pt>
                <c:pt idx="29">
                  <c:v>4.8653658034289241E-3</c:v>
                </c:pt>
                <c:pt idx="30">
                  <c:v>1.7165562473503519E-3</c:v>
                </c:pt>
                <c:pt idx="31">
                  <c:v>3.1809630491290049E-3</c:v>
                </c:pt>
                <c:pt idx="32">
                  <c:v>1.3793673813581599E-3</c:v>
                </c:pt>
                <c:pt idx="33">
                  <c:v>1.3487040845594743E-3</c:v>
                </c:pt>
                <c:pt idx="34">
                  <c:v>9.2415931314094918E-4</c:v>
                </c:pt>
                <c:pt idx="35">
                  <c:v>2.3334666742861497E-3</c:v>
                </c:pt>
                <c:pt idx="36">
                  <c:v>3.0798747854185599E-3</c:v>
                </c:pt>
                <c:pt idx="37">
                  <c:v>4.0817246978170664E-3</c:v>
                </c:pt>
                <c:pt idx="38">
                  <c:v>1.0896826083196401E-3</c:v>
                </c:pt>
                <c:pt idx="39">
                  <c:v>1.0984575217286749E-2</c:v>
                </c:pt>
                <c:pt idx="40">
                  <c:v>1.8468941678809856E-3</c:v>
                </c:pt>
                <c:pt idx="41">
                  <c:v>1.9052058737091724E-3</c:v>
                </c:pt>
                <c:pt idx="42">
                  <c:v>3.0555240088474996E-3</c:v>
                </c:pt>
                <c:pt idx="43">
                  <c:v>3.1475371965261584E-3</c:v>
                </c:pt>
                <c:pt idx="44">
                  <c:v>3.9209705941868752E-3</c:v>
                </c:pt>
                <c:pt idx="45">
                  <c:v>1.9961869935398759E-3</c:v>
                </c:pt>
                <c:pt idx="46">
                  <c:v>1.0988053215795403E-3</c:v>
                </c:pt>
                <c:pt idx="47">
                  <c:v>3.7778051067623862E-3</c:v>
                </c:pt>
                <c:pt idx="48">
                  <c:v>2.5976522198761379E-3</c:v>
                </c:pt>
                <c:pt idx="49">
                  <c:v>1.5731300645365684E-3</c:v>
                </c:pt>
                <c:pt idx="50">
                  <c:v>7.872087032172511E-3</c:v>
                </c:pt>
                <c:pt idx="51">
                  <c:v>3.8281206906062111E-3</c:v>
                </c:pt>
                <c:pt idx="52">
                  <c:v>1.2413909189098204E-3</c:v>
                </c:pt>
                <c:pt idx="53">
                  <c:v>1.1327664328719508E-2</c:v>
                </c:pt>
                <c:pt idx="54">
                  <c:v>2.4617598408673293E-3</c:v>
                </c:pt>
                <c:pt idx="55">
                  <c:v>1.1452908859898713E-3</c:v>
                </c:pt>
                <c:pt idx="56">
                  <c:v>2.2401847575057735E-3</c:v>
                </c:pt>
                <c:pt idx="57">
                  <c:v>3.3512794144334888E-3</c:v>
                </c:pt>
                <c:pt idx="58">
                  <c:v>9.827213822894169E-3</c:v>
                </c:pt>
                <c:pt idx="59">
                  <c:v>7.4721268454424738E-3</c:v>
                </c:pt>
                <c:pt idx="60">
                  <c:v>4.669318378338316E-3</c:v>
                </c:pt>
                <c:pt idx="61">
                  <c:v>7.6555792759910937E-3</c:v>
                </c:pt>
                <c:pt idx="62">
                  <c:v>2.6309839468870114E-3</c:v>
                </c:pt>
                <c:pt idx="63">
                  <c:v>2.1136549728017671E-3</c:v>
                </c:pt>
                <c:pt idx="64">
                  <c:v>6.6754281661347186E-3</c:v>
                </c:pt>
                <c:pt idx="65">
                  <c:v>3.1996007837554212E-3</c:v>
                </c:pt>
                <c:pt idx="66">
                  <c:v>9.1194199159233963E-3</c:v>
                </c:pt>
              </c:numCache>
            </c:numRef>
          </c:val>
          <c:smooth val="0"/>
          <c:extLst>
            <c:ext xmlns:c16="http://schemas.microsoft.com/office/drawing/2014/chart" uri="{C3380CC4-5D6E-409C-BE32-E72D297353CC}">
              <c16:uniqueId val="{00000000-0346-4EC5-8873-B79D0F0129BD}"/>
            </c:ext>
          </c:extLst>
        </c:ser>
        <c:ser>
          <c:idx val="1"/>
          <c:order val="1"/>
          <c:tx>
            <c:strRef>
              <c:f>All_Task_3_Analysis!$C$25:$C$26</c:f>
              <c:strCache>
                <c:ptCount val="1"/>
                <c:pt idx="0">
                  <c:v>Twitter</c:v>
                </c:pt>
              </c:strCache>
            </c:strRef>
          </c:tx>
          <c:spPr>
            <a:ln w="34925" cap="rnd">
              <a:solidFill>
                <a:schemeClr val="accent5"/>
              </a:solidFill>
              <a:round/>
            </a:ln>
            <a:effectLst>
              <a:outerShdw blurRad="53975" dist="41275" dir="14700000" algn="t" rotWithShape="0">
                <a:srgbClr val="000000">
                  <a:alpha val="60000"/>
                </a:srgbClr>
              </a:outerShdw>
            </a:effectLst>
          </c:spPr>
          <c:marker>
            <c:symbol val="circle"/>
            <c:size val="6"/>
            <c:spPr>
              <a:gradFill rotWithShape="1">
                <a:gsLst>
                  <a:gs pos="0">
                    <a:schemeClr val="accent5">
                      <a:tint val="60000"/>
                      <a:satMod val="160000"/>
                    </a:schemeClr>
                  </a:gs>
                  <a:gs pos="46000">
                    <a:schemeClr val="accent5">
                      <a:tint val="86000"/>
                      <a:satMod val="160000"/>
                    </a:schemeClr>
                  </a:gs>
                  <a:gs pos="100000">
                    <a:schemeClr val="accent5">
                      <a:shade val="40000"/>
                      <a:satMod val="160000"/>
                    </a:schemeClr>
                  </a:gs>
                </a:gsLst>
                <a:path path="circle">
                  <a:fillToRect l="50000" t="155000" r="50000" b="-55000"/>
                </a:path>
              </a:gradFill>
              <a:ln w="9525">
                <a:solidFill>
                  <a:schemeClr val="accent5"/>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cat>
            <c:strRef>
              <c:f>All_Task_3_Analysis!$A$27:$A$94</c:f>
              <c:strCache>
                <c:ptCount val="67"/>
                <c:pt idx="0">
                  <c:v>3/6/2024</c:v>
                </c:pt>
                <c:pt idx="1">
                  <c:v>10/6/2024</c:v>
                </c:pt>
                <c:pt idx="2">
                  <c:v>17/6/2024</c:v>
                </c:pt>
                <c:pt idx="3">
                  <c:v>24/6/2024</c:v>
                </c:pt>
                <c:pt idx="4">
                  <c:v>1/7/2024</c:v>
                </c:pt>
                <c:pt idx="5">
                  <c:v>8/7/2024</c:v>
                </c:pt>
                <c:pt idx="6">
                  <c:v>15/7/2024</c:v>
                </c:pt>
                <c:pt idx="7">
                  <c:v>22/7/2024</c:v>
                </c:pt>
                <c:pt idx="8">
                  <c:v>29/7/2024</c:v>
                </c:pt>
                <c:pt idx="9">
                  <c:v>5/8/2024</c:v>
                </c:pt>
                <c:pt idx="10">
                  <c:v>12/8/2024</c:v>
                </c:pt>
                <c:pt idx="11">
                  <c:v>19/8/2024</c:v>
                </c:pt>
                <c:pt idx="12">
                  <c:v>26/8/2024</c:v>
                </c:pt>
                <c:pt idx="13">
                  <c:v>2/9/2024</c:v>
                </c:pt>
                <c:pt idx="14">
                  <c:v>9/9/2024</c:v>
                </c:pt>
                <c:pt idx="15">
                  <c:v>16/9/2024</c:v>
                </c:pt>
                <c:pt idx="16">
                  <c:v>23/9/2024</c:v>
                </c:pt>
                <c:pt idx="17">
                  <c:v>30/9/2024</c:v>
                </c:pt>
                <c:pt idx="18">
                  <c:v>7/10/2024</c:v>
                </c:pt>
                <c:pt idx="19">
                  <c:v>14/10/2024</c:v>
                </c:pt>
                <c:pt idx="20">
                  <c:v>21/10/2024</c:v>
                </c:pt>
                <c:pt idx="21">
                  <c:v>28/10/2024</c:v>
                </c:pt>
                <c:pt idx="22">
                  <c:v>4/11/2024</c:v>
                </c:pt>
                <c:pt idx="23">
                  <c:v>11/11/2024</c:v>
                </c:pt>
                <c:pt idx="24">
                  <c:v>18/11/2024</c:v>
                </c:pt>
                <c:pt idx="25">
                  <c:v>25/11/2024</c:v>
                </c:pt>
                <c:pt idx="26">
                  <c:v>2/12/2024</c:v>
                </c:pt>
                <c:pt idx="27">
                  <c:v>9/12/2024</c:v>
                </c:pt>
                <c:pt idx="28">
                  <c:v>16/12/2024</c:v>
                </c:pt>
                <c:pt idx="29">
                  <c:v>23/12/2024</c:v>
                </c:pt>
                <c:pt idx="30">
                  <c:v>30/12/2024</c:v>
                </c:pt>
                <c:pt idx="31">
                  <c:v>6/1/2025</c:v>
                </c:pt>
                <c:pt idx="32">
                  <c:v>13/1/2025</c:v>
                </c:pt>
                <c:pt idx="33">
                  <c:v>20/1/2025</c:v>
                </c:pt>
                <c:pt idx="34">
                  <c:v>27/1/2025</c:v>
                </c:pt>
                <c:pt idx="35">
                  <c:v>3/2/2025</c:v>
                </c:pt>
                <c:pt idx="36">
                  <c:v>10/2/2025</c:v>
                </c:pt>
                <c:pt idx="37">
                  <c:v>17/2/2025</c:v>
                </c:pt>
                <c:pt idx="38">
                  <c:v>24/2/2025</c:v>
                </c:pt>
                <c:pt idx="39">
                  <c:v>3/3/2025</c:v>
                </c:pt>
                <c:pt idx="40">
                  <c:v>10/3/2025</c:v>
                </c:pt>
                <c:pt idx="41">
                  <c:v>17/3/2025</c:v>
                </c:pt>
                <c:pt idx="42">
                  <c:v>24/3/2025</c:v>
                </c:pt>
                <c:pt idx="43">
                  <c:v>31/3/2025</c:v>
                </c:pt>
                <c:pt idx="44">
                  <c:v>7/4/2025</c:v>
                </c:pt>
                <c:pt idx="45">
                  <c:v>14/4/2025</c:v>
                </c:pt>
                <c:pt idx="46">
                  <c:v>21/4/2025</c:v>
                </c:pt>
                <c:pt idx="47">
                  <c:v>28/4/2025</c:v>
                </c:pt>
                <c:pt idx="48">
                  <c:v>5/5/2025</c:v>
                </c:pt>
                <c:pt idx="49">
                  <c:v>12/5/2025</c:v>
                </c:pt>
                <c:pt idx="50">
                  <c:v>19/5/2025</c:v>
                </c:pt>
                <c:pt idx="51">
                  <c:v>26/5/2025</c:v>
                </c:pt>
                <c:pt idx="52">
                  <c:v>2/6/2025</c:v>
                </c:pt>
                <c:pt idx="53">
                  <c:v>9/6/2025</c:v>
                </c:pt>
                <c:pt idx="54">
                  <c:v>16/6/2025</c:v>
                </c:pt>
                <c:pt idx="55">
                  <c:v>23/6/2025</c:v>
                </c:pt>
                <c:pt idx="56">
                  <c:v>30/6/2025</c:v>
                </c:pt>
                <c:pt idx="57">
                  <c:v>7/7/2025</c:v>
                </c:pt>
                <c:pt idx="58">
                  <c:v>14/7/2025</c:v>
                </c:pt>
                <c:pt idx="59">
                  <c:v>21/7/2025</c:v>
                </c:pt>
                <c:pt idx="60">
                  <c:v>28/7/2025</c:v>
                </c:pt>
                <c:pt idx="61">
                  <c:v>4/8/2025</c:v>
                </c:pt>
                <c:pt idx="62">
                  <c:v>11/8/2025</c:v>
                </c:pt>
                <c:pt idx="63">
                  <c:v>18/8/2025</c:v>
                </c:pt>
                <c:pt idx="64">
                  <c:v>25/8/2025</c:v>
                </c:pt>
                <c:pt idx="65">
                  <c:v>1/9/2025</c:v>
                </c:pt>
                <c:pt idx="66">
                  <c:v>8/9/2025</c:v>
                </c:pt>
              </c:strCache>
            </c:strRef>
          </c:cat>
          <c:val>
            <c:numRef>
              <c:f>All_Task_3_Analysis!$C$27:$C$94</c:f>
              <c:numCache>
                <c:formatCode>0.00%</c:formatCode>
                <c:ptCount val="67"/>
                <c:pt idx="0">
                  <c:v>3.9875766588582107E-3</c:v>
                </c:pt>
                <c:pt idx="1">
                  <c:v>4.247465810484582E-3</c:v>
                </c:pt>
                <c:pt idx="2">
                  <c:v>5.2165710498603361E-3</c:v>
                </c:pt>
                <c:pt idx="3">
                  <c:v>8.7155963302752298E-3</c:v>
                </c:pt>
                <c:pt idx="4">
                  <c:v>2.7265062228494967E-3</c:v>
                </c:pt>
                <c:pt idx="5">
                  <c:v>1.7836234485988603E-2</c:v>
                </c:pt>
                <c:pt idx="6">
                  <c:v>4.1633646660018432E-3</c:v>
                </c:pt>
                <c:pt idx="7">
                  <c:v>1.3666228646517741E-3</c:v>
                </c:pt>
                <c:pt idx="8">
                  <c:v>5.2125958475504573E-3</c:v>
                </c:pt>
                <c:pt idx="9">
                  <c:v>4.3839826448522105E-3</c:v>
                </c:pt>
                <c:pt idx="10">
                  <c:v>1.031124193757846E-2</c:v>
                </c:pt>
                <c:pt idx="11">
                  <c:v>6.2169419806330862E-3</c:v>
                </c:pt>
                <c:pt idx="12">
                  <c:v>1.1090510417460359E-3</c:v>
                </c:pt>
                <c:pt idx="13">
                  <c:v>2.6618404566337186E-3</c:v>
                </c:pt>
                <c:pt idx="14">
                  <c:v>4.7123181781018424E-3</c:v>
                </c:pt>
                <c:pt idx="15">
                  <c:v>3.4796436801746559E-3</c:v>
                </c:pt>
                <c:pt idx="16">
                  <c:v>3.305365562946797E-3</c:v>
                </c:pt>
                <c:pt idx="17">
                  <c:v>4.6946006530167259E-3</c:v>
                </c:pt>
                <c:pt idx="18">
                  <c:v>2.8850860838862216E-3</c:v>
                </c:pt>
                <c:pt idx="19">
                  <c:v>1.8353650184906177E-3</c:v>
                </c:pt>
                <c:pt idx="20">
                  <c:v>5.3980915408646862E-3</c:v>
                </c:pt>
                <c:pt idx="21">
                  <c:v>1.5788005199153436E-3</c:v>
                </c:pt>
                <c:pt idx="22">
                  <c:v>3.9842122008616216E-3</c:v>
                </c:pt>
                <c:pt idx="23">
                  <c:v>2.6275238057607967E-3</c:v>
                </c:pt>
                <c:pt idx="24">
                  <c:v>5.0288483327232481E-3</c:v>
                </c:pt>
                <c:pt idx="25">
                  <c:v>4.2439230501565839E-3</c:v>
                </c:pt>
                <c:pt idx="26">
                  <c:v>7.8261885293774095E-3</c:v>
                </c:pt>
                <c:pt idx="27">
                  <c:v>3.8344284334702996E-3</c:v>
                </c:pt>
                <c:pt idx="28">
                  <c:v>2.7987701840030041E-3</c:v>
                </c:pt>
                <c:pt idx="29">
                  <c:v>6.4046760353189906E-3</c:v>
                </c:pt>
                <c:pt idx="30">
                  <c:v>3.7157691133055076E-3</c:v>
                </c:pt>
                <c:pt idx="31">
                  <c:v>8.2282093543773697E-3</c:v>
                </c:pt>
                <c:pt idx="32">
                  <c:v>3.960732004118693E-3</c:v>
                </c:pt>
                <c:pt idx="33">
                  <c:v>2.0100280520398473E-3</c:v>
                </c:pt>
                <c:pt idx="34">
                  <c:v>5.1939513477975013E-3</c:v>
                </c:pt>
                <c:pt idx="35">
                  <c:v>6.8852027382833069E-3</c:v>
                </c:pt>
                <c:pt idx="36">
                  <c:v>1.2038244241634072E-2</c:v>
                </c:pt>
                <c:pt idx="37">
                  <c:v>2.3280135960016494E-3</c:v>
                </c:pt>
                <c:pt idx="38">
                  <c:v>3.7818873758696555E-3</c:v>
                </c:pt>
                <c:pt idx="39">
                  <c:v>7.8900723125911749E-3</c:v>
                </c:pt>
                <c:pt idx="40">
                  <c:v>5.1540047386073422E-3</c:v>
                </c:pt>
                <c:pt idx="41">
                  <c:v>1.4348198375413667E-3</c:v>
                </c:pt>
                <c:pt idx="42">
                  <c:v>6.5302778380201933E-3</c:v>
                </c:pt>
                <c:pt idx="43">
                  <c:v>9.0792625187990864E-3</c:v>
                </c:pt>
                <c:pt idx="44">
                  <c:v>2.9814935695005556E-3</c:v>
                </c:pt>
                <c:pt idx="45">
                  <c:v>6.2397756485160086E-3</c:v>
                </c:pt>
                <c:pt idx="46">
                  <c:v>1.4351099955706482E-3</c:v>
                </c:pt>
                <c:pt idx="47">
                  <c:v>2.0509887813384732E-3</c:v>
                </c:pt>
                <c:pt idx="48">
                  <c:v>2.5507605115104954E-3</c:v>
                </c:pt>
                <c:pt idx="49">
                  <c:v>2.6547884187082403E-3</c:v>
                </c:pt>
                <c:pt idx="50">
                  <c:v>4.1466368206671319E-3</c:v>
                </c:pt>
                <c:pt idx="51">
                  <c:v>3.7470607409939207E-3</c:v>
                </c:pt>
                <c:pt idx="52">
                  <c:v>9.6542972769051369E-3</c:v>
                </c:pt>
                <c:pt idx="53">
                  <c:v>1.5942232850377457E-3</c:v>
                </c:pt>
                <c:pt idx="54">
                  <c:v>5.1721119722456512E-3</c:v>
                </c:pt>
                <c:pt idx="55">
                  <c:v>2.1127444317144686E-3</c:v>
                </c:pt>
                <c:pt idx="56">
                  <c:v>1.208595326242385E-2</c:v>
                </c:pt>
                <c:pt idx="57">
                  <c:v>2.6668250067122413E-3</c:v>
                </c:pt>
                <c:pt idx="58">
                  <c:v>1.5181988769584942E-3</c:v>
                </c:pt>
                <c:pt idx="59">
                  <c:v>3.1852844079273504E-3</c:v>
                </c:pt>
                <c:pt idx="60">
                  <c:v>1.0981480529715098E-2</c:v>
                </c:pt>
                <c:pt idx="61">
                  <c:v>1.8650998332996943E-3</c:v>
                </c:pt>
                <c:pt idx="62">
                  <c:v>6.0271996703070265E-3</c:v>
                </c:pt>
                <c:pt idx="63">
                  <c:v>1.823480339105339E-3</c:v>
                </c:pt>
                <c:pt idx="64">
                  <c:v>3.9399561477483558E-3</c:v>
                </c:pt>
                <c:pt idx="65">
                  <c:v>3.6710630280192063E-3</c:v>
                </c:pt>
                <c:pt idx="66">
                  <c:v>1.7666324429429343E-3</c:v>
                </c:pt>
              </c:numCache>
            </c:numRef>
          </c:val>
          <c:smooth val="0"/>
          <c:extLst>
            <c:ext xmlns:c16="http://schemas.microsoft.com/office/drawing/2014/chart" uri="{C3380CC4-5D6E-409C-BE32-E72D297353CC}">
              <c16:uniqueId val="{00000001-0346-4EC5-8873-B79D0F0129BD}"/>
            </c:ext>
          </c:extLst>
        </c:ser>
        <c:ser>
          <c:idx val="2"/>
          <c:order val="2"/>
          <c:tx>
            <c:strRef>
              <c:f>All_Task_3_Analysis!$D$25:$D$26</c:f>
              <c:strCache>
                <c:ptCount val="1"/>
                <c:pt idx="0">
                  <c:v>YouTube</c:v>
                </c:pt>
              </c:strCache>
            </c:strRef>
          </c:tx>
          <c:spPr>
            <a:ln w="34925" cap="rnd">
              <a:solidFill>
                <a:schemeClr val="accent4"/>
              </a:solidFill>
              <a:round/>
            </a:ln>
            <a:effectLst>
              <a:outerShdw blurRad="53975" dist="41275" dir="14700000" algn="t" rotWithShape="0">
                <a:srgbClr val="000000">
                  <a:alpha val="60000"/>
                </a:srgbClr>
              </a:outerShdw>
            </a:effectLst>
          </c:spPr>
          <c:marker>
            <c:symbol val="circle"/>
            <c:size val="6"/>
            <c:spPr>
              <a:gradFill rotWithShape="1">
                <a:gsLst>
                  <a:gs pos="0">
                    <a:schemeClr val="accent4">
                      <a:tint val="60000"/>
                      <a:satMod val="160000"/>
                    </a:schemeClr>
                  </a:gs>
                  <a:gs pos="46000">
                    <a:schemeClr val="accent4">
                      <a:tint val="86000"/>
                      <a:satMod val="160000"/>
                    </a:schemeClr>
                  </a:gs>
                  <a:gs pos="100000">
                    <a:schemeClr val="accent4">
                      <a:shade val="40000"/>
                      <a:satMod val="160000"/>
                    </a:schemeClr>
                  </a:gs>
                </a:gsLst>
                <a:path path="circle">
                  <a:fillToRect l="50000" t="155000" r="50000" b="-55000"/>
                </a:path>
              </a:gradFill>
              <a:ln w="9525">
                <a:solidFill>
                  <a:schemeClr val="accent4"/>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cat>
            <c:strRef>
              <c:f>All_Task_3_Analysis!$A$27:$A$94</c:f>
              <c:strCache>
                <c:ptCount val="67"/>
                <c:pt idx="0">
                  <c:v>3/6/2024</c:v>
                </c:pt>
                <c:pt idx="1">
                  <c:v>10/6/2024</c:v>
                </c:pt>
                <c:pt idx="2">
                  <c:v>17/6/2024</c:v>
                </c:pt>
                <c:pt idx="3">
                  <c:v>24/6/2024</c:v>
                </c:pt>
                <c:pt idx="4">
                  <c:v>1/7/2024</c:v>
                </c:pt>
                <c:pt idx="5">
                  <c:v>8/7/2024</c:v>
                </c:pt>
                <c:pt idx="6">
                  <c:v>15/7/2024</c:v>
                </c:pt>
                <c:pt idx="7">
                  <c:v>22/7/2024</c:v>
                </c:pt>
                <c:pt idx="8">
                  <c:v>29/7/2024</c:v>
                </c:pt>
                <c:pt idx="9">
                  <c:v>5/8/2024</c:v>
                </c:pt>
                <c:pt idx="10">
                  <c:v>12/8/2024</c:v>
                </c:pt>
                <c:pt idx="11">
                  <c:v>19/8/2024</c:v>
                </c:pt>
                <c:pt idx="12">
                  <c:v>26/8/2024</c:v>
                </c:pt>
                <c:pt idx="13">
                  <c:v>2/9/2024</c:v>
                </c:pt>
                <c:pt idx="14">
                  <c:v>9/9/2024</c:v>
                </c:pt>
                <c:pt idx="15">
                  <c:v>16/9/2024</c:v>
                </c:pt>
                <c:pt idx="16">
                  <c:v>23/9/2024</c:v>
                </c:pt>
                <c:pt idx="17">
                  <c:v>30/9/2024</c:v>
                </c:pt>
                <c:pt idx="18">
                  <c:v>7/10/2024</c:v>
                </c:pt>
                <c:pt idx="19">
                  <c:v>14/10/2024</c:v>
                </c:pt>
                <c:pt idx="20">
                  <c:v>21/10/2024</c:v>
                </c:pt>
                <c:pt idx="21">
                  <c:v>28/10/2024</c:v>
                </c:pt>
                <c:pt idx="22">
                  <c:v>4/11/2024</c:v>
                </c:pt>
                <c:pt idx="23">
                  <c:v>11/11/2024</c:v>
                </c:pt>
                <c:pt idx="24">
                  <c:v>18/11/2024</c:v>
                </c:pt>
                <c:pt idx="25">
                  <c:v>25/11/2024</c:v>
                </c:pt>
                <c:pt idx="26">
                  <c:v>2/12/2024</c:v>
                </c:pt>
                <c:pt idx="27">
                  <c:v>9/12/2024</c:v>
                </c:pt>
                <c:pt idx="28">
                  <c:v>16/12/2024</c:v>
                </c:pt>
                <c:pt idx="29">
                  <c:v>23/12/2024</c:v>
                </c:pt>
                <c:pt idx="30">
                  <c:v>30/12/2024</c:v>
                </c:pt>
                <c:pt idx="31">
                  <c:v>6/1/2025</c:v>
                </c:pt>
                <c:pt idx="32">
                  <c:v>13/1/2025</c:v>
                </c:pt>
                <c:pt idx="33">
                  <c:v>20/1/2025</c:v>
                </c:pt>
                <c:pt idx="34">
                  <c:v>27/1/2025</c:v>
                </c:pt>
                <c:pt idx="35">
                  <c:v>3/2/2025</c:v>
                </c:pt>
                <c:pt idx="36">
                  <c:v>10/2/2025</c:v>
                </c:pt>
                <c:pt idx="37">
                  <c:v>17/2/2025</c:v>
                </c:pt>
                <c:pt idx="38">
                  <c:v>24/2/2025</c:v>
                </c:pt>
                <c:pt idx="39">
                  <c:v>3/3/2025</c:v>
                </c:pt>
                <c:pt idx="40">
                  <c:v>10/3/2025</c:v>
                </c:pt>
                <c:pt idx="41">
                  <c:v>17/3/2025</c:v>
                </c:pt>
                <c:pt idx="42">
                  <c:v>24/3/2025</c:v>
                </c:pt>
                <c:pt idx="43">
                  <c:v>31/3/2025</c:v>
                </c:pt>
                <c:pt idx="44">
                  <c:v>7/4/2025</c:v>
                </c:pt>
                <c:pt idx="45">
                  <c:v>14/4/2025</c:v>
                </c:pt>
                <c:pt idx="46">
                  <c:v>21/4/2025</c:v>
                </c:pt>
                <c:pt idx="47">
                  <c:v>28/4/2025</c:v>
                </c:pt>
                <c:pt idx="48">
                  <c:v>5/5/2025</c:v>
                </c:pt>
                <c:pt idx="49">
                  <c:v>12/5/2025</c:v>
                </c:pt>
                <c:pt idx="50">
                  <c:v>19/5/2025</c:v>
                </c:pt>
                <c:pt idx="51">
                  <c:v>26/5/2025</c:v>
                </c:pt>
                <c:pt idx="52">
                  <c:v>2/6/2025</c:v>
                </c:pt>
                <c:pt idx="53">
                  <c:v>9/6/2025</c:v>
                </c:pt>
                <c:pt idx="54">
                  <c:v>16/6/2025</c:v>
                </c:pt>
                <c:pt idx="55">
                  <c:v>23/6/2025</c:v>
                </c:pt>
                <c:pt idx="56">
                  <c:v>30/6/2025</c:v>
                </c:pt>
                <c:pt idx="57">
                  <c:v>7/7/2025</c:v>
                </c:pt>
                <c:pt idx="58">
                  <c:v>14/7/2025</c:v>
                </c:pt>
                <c:pt idx="59">
                  <c:v>21/7/2025</c:v>
                </c:pt>
                <c:pt idx="60">
                  <c:v>28/7/2025</c:v>
                </c:pt>
                <c:pt idx="61">
                  <c:v>4/8/2025</c:v>
                </c:pt>
                <c:pt idx="62">
                  <c:v>11/8/2025</c:v>
                </c:pt>
                <c:pt idx="63">
                  <c:v>18/8/2025</c:v>
                </c:pt>
                <c:pt idx="64">
                  <c:v>25/8/2025</c:v>
                </c:pt>
                <c:pt idx="65">
                  <c:v>1/9/2025</c:v>
                </c:pt>
                <c:pt idx="66">
                  <c:v>8/9/2025</c:v>
                </c:pt>
              </c:strCache>
            </c:strRef>
          </c:cat>
          <c:val>
            <c:numRef>
              <c:f>All_Task_3_Analysis!$D$27:$D$94</c:f>
              <c:numCache>
                <c:formatCode>0.00%</c:formatCode>
                <c:ptCount val="67"/>
                <c:pt idx="0">
                  <c:v>3.176300905893983E-3</c:v>
                </c:pt>
                <c:pt idx="1">
                  <c:v>1.1541771253329111E-3</c:v>
                </c:pt>
                <c:pt idx="2">
                  <c:v>5.1990991422684362E-3</c:v>
                </c:pt>
                <c:pt idx="3">
                  <c:v>5.5548942586200059E-3</c:v>
                </c:pt>
                <c:pt idx="4">
                  <c:v>3.7184126339477423E-3</c:v>
                </c:pt>
                <c:pt idx="5">
                  <c:v>5.7836390843520723E-3</c:v>
                </c:pt>
                <c:pt idx="6">
                  <c:v>4.4074791828765565E-3</c:v>
                </c:pt>
                <c:pt idx="7">
                  <c:v>2.9558125725816196E-3</c:v>
                </c:pt>
                <c:pt idx="8">
                  <c:v>2.4107127645679174E-3</c:v>
                </c:pt>
                <c:pt idx="9">
                  <c:v>2.3829134417695176E-3</c:v>
                </c:pt>
                <c:pt idx="10">
                  <c:v>3.2668165162148292E-3</c:v>
                </c:pt>
                <c:pt idx="11">
                  <c:v>6.1138546368952043E-3</c:v>
                </c:pt>
                <c:pt idx="12">
                  <c:v>4.3018845648676966E-3</c:v>
                </c:pt>
                <c:pt idx="13">
                  <c:v>2.8775171297394605E-3</c:v>
                </c:pt>
                <c:pt idx="14">
                  <c:v>2.3319170287838973E-3</c:v>
                </c:pt>
                <c:pt idx="15">
                  <c:v>2.2541306944976669E-3</c:v>
                </c:pt>
                <c:pt idx="16">
                  <c:v>1.3748256088824177E-3</c:v>
                </c:pt>
                <c:pt idx="17">
                  <c:v>3.2768049617799048E-3</c:v>
                </c:pt>
                <c:pt idx="18">
                  <c:v>8.0878372132944243E-3</c:v>
                </c:pt>
                <c:pt idx="19">
                  <c:v>3.8177207407976638E-3</c:v>
                </c:pt>
                <c:pt idx="20">
                  <c:v>7.2173750633688196E-3</c:v>
                </c:pt>
                <c:pt idx="21">
                  <c:v>3.6774665438586984E-3</c:v>
                </c:pt>
                <c:pt idx="22">
                  <c:v>8.0175996088975802E-3</c:v>
                </c:pt>
                <c:pt idx="23">
                  <c:v>4.6556860536239985E-3</c:v>
                </c:pt>
                <c:pt idx="24">
                  <c:v>2.0449775112443779E-3</c:v>
                </c:pt>
                <c:pt idx="25">
                  <c:v>5.8524314976443207E-3</c:v>
                </c:pt>
                <c:pt idx="26">
                  <c:v>2.0028848369668811E-3</c:v>
                </c:pt>
                <c:pt idx="27">
                  <c:v>3.2086280175382597E-3</c:v>
                </c:pt>
                <c:pt idx="28">
                  <c:v>7.8332145402708487E-3</c:v>
                </c:pt>
                <c:pt idx="29">
                  <c:v>2.60081206532016E-3</c:v>
                </c:pt>
                <c:pt idx="30">
                  <c:v>4.3562203906807708E-3</c:v>
                </c:pt>
                <c:pt idx="31">
                  <c:v>2.8057492705051896E-3</c:v>
                </c:pt>
                <c:pt idx="32">
                  <c:v>2.9568975321278288E-3</c:v>
                </c:pt>
                <c:pt idx="33">
                  <c:v>2.5280739012313877E-3</c:v>
                </c:pt>
                <c:pt idx="34">
                  <c:v>3.685623501752981E-3</c:v>
                </c:pt>
                <c:pt idx="35">
                  <c:v>1.1697559866836308E-3</c:v>
                </c:pt>
                <c:pt idx="36">
                  <c:v>1.9357425118836263E-3</c:v>
                </c:pt>
                <c:pt idx="37">
                  <c:v>1.0583174536168594E-3</c:v>
                </c:pt>
                <c:pt idx="38">
                  <c:v>1.8949662755644234E-3</c:v>
                </c:pt>
                <c:pt idx="39">
                  <c:v>1.7409229805475531E-3</c:v>
                </c:pt>
                <c:pt idx="40">
                  <c:v>2.2450476889214967E-3</c:v>
                </c:pt>
                <c:pt idx="41">
                  <c:v>4.2810298761233904E-3</c:v>
                </c:pt>
                <c:pt idx="42">
                  <c:v>3.2720751898231166E-3</c:v>
                </c:pt>
                <c:pt idx="43">
                  <c:v>6.7594964249334932E-3</c:v>
                </c:pt>
                <c:pt idx="44">
                  <c:v>3.6902252215116576E-3</c:v>
                </c:pt>
                <c:pt idx="45">
                  <c:v>4.6142223427541986E-3</c:v>
                </c:pt>
                <c:pt idx="46">
                  <c:v>3.2565414723670183E-3</c:v>
                </c:pt>
                <c:pt idx="47">
                  <c:v>2.9339148299662998E-3</c:v>
                </c:pt>
                <c:pt idx="48">
                  <c:v>1.9790880672631238E-3</c:v>
                </c:pt>
                <c:pt idx="49">
                  <c:v>1.4915157677349929E-3</c:v>
                </c:pt>
                <c:pt idx="50">
                  <c:v>7.5491490264485411E-3</c:v>
                </c:pt>
                <c:pt idx="51">
                  <c:v>2.005770990217468E-3</c:v>
                </c:pt>
                <c:pt idx="52">
                  <c:v>4.9181461441388493E-3</c:v>
                </c:pt>
                <c:pt idx="53">
                  <c:v>4.1211031333606603E-3</c:v>
                </c:pt>
                <c:pt idx="54">
                  <c:v>5.4388566363352828E-3</c:v>
                </c:pt>
                <c:pt idx="55">
                  <c:v>3.3553365983339462E-3</c:v>
                </c:pt>
                <c:pt idx="56">
                  <c:v>6.4765009508285796E-3</c:v>
                </c:pt>
                <c:pt idx="57">
                  <c:v>3.1694785125105812E-3</c:v>
                </c:pt>
                <c:pt idx="58">
                  <c:v>2.6388003437092886E-3</c:v>
                </c:pt>
                <c:pt idx="59">
                  <c:v>3.2454858113287115E-3</c:v>
                </c:pt>
                <c:pt idx="60">
                  <c:v>1.7084647221127316E-2</c:v>
                </c:pt>
                <c:pt idx="61">
                  <c:v>3.9299078763469142E-3</c:v>
                </c:pt>
                <c:pt idx="62">
                  <c:v>6.6042394102916796E-3</c:v>
                </c:pt>
                <c:pt idx="63">
                  <c:v>5.5270456327116777E-3</c:v>
                </c:pt>
                <c:pt idx="64">
                  <c:v>3.5959985838152297E-3</c:v>
                </c:pt>
                <c:pt idx="65">
                  <c:v>7.9729048800556194E-4</c:v>
                </c:pt>
              </c:numCache>
            </c:numRef>
          </c:val>
          <c:smooth val="0"/>
          <c:extLst>
            <c:ext xmlns:c16="http://schemas.microsoft.com/office/drawing/2014/chart" uri="{C3380CC4-5D6E-409C-BE32-E72D297353CC}">
              <c16:uniqueId val="{00000002-0346-4EC5-8873-B79D0F0129BD}"/>
            </c:ext>
          </c:extLst>
        </c:ser>
        <c:dLbls>
          <c:showLegendKey val="0"/>
          <c:showVal val="0"/>
          <c:showCatName val="0"/>
          <c:showSerName val="0"/>
          <c:showPercent val="0"/>
          <c:showBubbleSize val="0"/>
        </c:dLbls>
        <c:marker val="1"/>
        <c:smooth val="0"/>
        <c:axId val="1629614608"/>
        <c:axId val="1629576208"/>
      </c:lineChart>
      <c:catAx>
        <c:axId val="162961460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Week_Start_Date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9576208"/>
        <c:crosses val="autoZero"/>
        <c:auto val="1"/>
        <c:lblAlgn val="ctr"/>
        <c:lblOffset val="100"/>
        <c:noMultiLvlLbl val="0"/>
      </c:catAx>
      <c:valAx>
        <c:axId val="162957620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Average of Growth Rate %</a:t>
                </a:r>
              </a:p>
            </c:rich>
          </c:tx>
          <c:layout>
            <c:manualLayout>
              <c:xMode val="edge"/>
              <c:yMode val="edge"/>
              <c:x val="8.0369815059246636E-3"/>
              <c:y val="0.3199846609280719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961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[Social_Media_Internship_Assignment_Solution_Harsh_Srivastav.xlsx]All_Task_3_Analysis!PivotTable7</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Ad Spend vs. Engagement Rate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12700">
              <a:solidFill>
                <a:schemeClr val="lt2"/>
              </a:solidFill>
              <a:round/>
            </a:ln>
            <a:effectLst>
              <a:outerShdw blurRad="50800" dist="38100" dir="14700000" algn="t"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12700">
              <a:solidFill>
                <a:schemeClr val="lt2"/>
              </a:solidFill>
              <a:round/>
            </a:ln>
            <a:effectLst>
              <a:outerShdw blurRad="50800" dist="38100" dir="14700000" algn="t"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a:outerShdw blurRad="50800" dist="38100" dir="14700000" algn="t" rotWithShape="0">
              <a:srgbClr val="000000">
                <a:alpha val="60000"/>
              </a:srgbClr>
            </a:outerShdw>
          </a:effectLst>
        </c:spPr>
        <c:marker>
          <c:symbol val="circle"/>
          <c:size val="6"/>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w="12700">
              <a:solidFill>
                <a:schemeClr val="lt2"/>
              </a:solidFill>
              <a:round/>
            </a:ln>
            <a:effectLst>
              <a:outerShdw blurRad="50800" dist="38100" dir="14700000" algn="t"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All_Task_3_Analysis!$B$104</c:f>
              <c:strCache>
                <c:ptCount val="1"/>
                <c:pt idx="0">
                  <c:v>Sum of Ad_Spend</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cat>
            <c:strRef>
              <c:f>All_Task_3_Analysis!$A$105:$A$108</c:f>
              <c:strCache>
                <c:ptCount val="3"/>
                <c:pt idx="0">
                  <c:v>Instagram</c:v>
                </c:pt>
                <c:pt idx="1">
                  <c:v>Twitter</c:v>
                </c:pt>
                <c:pt idx="2">
                  <c:v>YouTube</c:v>
                </c:pt>
              </c:strCache>
            </c:strRef>
          </c:cat>
          <c:val>
            <c:numRef>
              <c:f>All_Task_3_Analysis!$B$105:$B$108</c:f>
              <c:numCache>
                <c:formatCode>0</c:formatCode>
                <c:ptCount val="3"/>
                <c:pt idx="0">
                  <c:v>1035942</c:v>
                </c:pt>
                <c:pt idx="1">
                  <c:v>1114204</c:v>
                </c:pt>
                <c:pt idx="2">
                  <c:v>1065782</c:v>
                </c:pt>
              </c:numCache>
            </c:numRef>
          </c:val>
          <c:extLst>
            <c:ext xmlns:c16="http://schemas.microsoft.com/office/drawing/2014/chart" uri="{C3380CC4-5D6E-409C-BE32-E72D297353CC}">
              <c16:uniqueId val="{00000005-AD90-438A-B3FB-72E2F9579EF7}"/>
            </c:ext>
          </c:extLst>
        </c:ser>
        <c:dLbls>
          <c:showLegendKey val="0"/>
          <c:showVal val="0"/>
          <c:showCatName val="0"/>
          <c:showSerName val="0"/>
          <c:showPercent val="0"/>
          <c:showBubbleSize val="0"/>
        </c:dLbls>
        <c:gapWidth val="219"/>
        <c:axId val="420062687"/>
        <c:axId val="420059807"/>
      </c:barChart>
      <c:lineChart>
        <c:grouping val="standard"/>
        <c:varyColors val="0"/>
        <c:ser>
          <c:idx val="1"/>
          <c:order val="1"/>
          <c:tx>
            <c:strRef>
              <c:f>All_Task_3_Analysis!$C$104</c:f>
              <c:strCache>
                <c:ptCount val="1"/>
                <c:pt idx="0">
                  <c:v>Average of Engagement_Rate</c:v>
                </c:pt>
              </c:strCache>
            </c:strRef>
          </c:tx>
          <c:spPr>
            <a:ln w="31750" cap="rnd">
              <a:solidFill>
                <a:schemeClr val="accent2"/>
              </a:solidFill>
              <a:round/>
            </a:ln>
            <a:effectLst>
              <a:outerShdw blurRad="50800" dist="38100" dir="14700000" algn="t" rotWithShape="0">
                <a:srgbClr val="000000">
                  <a:alpha val="60000"/>
                </a:srgbClr>
              </a:outerShdw>
            </a:effectLst>
          </c:spPr>
          <c:marker>
            <c:symbol val="circle"/>
            <c:size val="6"/>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w="12700">
                <a:solidFill>
                  <a:schemeClr val="lt2"/>
                </a:solidFill>
                <a:round/>
              </a:ln>
              <a:effectLst>
                <a:outerShdw blurRad="50800" dist="38100" dir="14700000" algn="t" rotWithShape="0">
                  <a:srgbClr val="000000">
                    <a:alpha val="60000"/>
                  </a:srgbClr>
                </a:outerShdw>
              </a:effectLst>
            </c:spPr>
          </c:marker>
          <c:cat>
            <c:strRef>
              <c:f>All_Task_3_Analysis!$A$105:$A$108</c:f>
              <c:strCache>
                <c:ptCount val="3"/>
                <c:pt idx="0">
                  <c:v>Instagram</c:v>
                </c:pt>
                <c:pt idx="1">
                  <c:v>Twitter</c:v>
                </c:pt>
                <c:pt idx="2">
                  <c:v>YouTube</c:v>
                </c:pt>
              </c:strCache>
            </c:strRef>
          </c:cat>
          <c:val>
            <c:numRef>
              <c:f>All_Task_3_Analysis!$C$105:$C$108</c:f>
              <c:numCache>
                <c:formatCode>0.00</c:formatCode>
                <c:ptCount val="3"/>
                <c:pt idx="0">
                  <c:v>6.4582089552238831</c:v>
                </c:pt>
                <c:pt idx="1">
                  <c:v>6.8856716417910446</c:v>
                </c:pt>
                <c:pt idx="2">
                  <c:v>6.7189393939393929</c:v>
                </c:pt>
              </c:numCache>
            </c:numRef>
          </c:val>
          <c:smooth val="0"/>
          <c:extLst>
            <c:ext xmlns:c16="http://schemas.microsoft.com/office/drawing/2014/chart" uri="{C3380CC4-5D6E-409C-BE32-E72D297353CC}">
              <c16:uniqueId val="{00000006-AD90-438A-B3FB-72E2F9579EF7}"/>
            </c:ext>
          </c:extLst>
        </c:ser>
        <c:dLbls>
          <c:showLegendKey val="0"/>
          <c:showVal val="0"/>
          <c:showCatName val="0"/>
          <c:showSerName val="0"/>
          <c:showPercent val="0"/>
          <c:showBubbleSize val="0"/>
        </c:dLbls>
        <c:marker val="1"/>
        <c:smooth val="0"/>
        <c:axId val="2106801984"/>
        <c:axId val="2106805344"/>
      </c:lineChart>
      <c:catAx>
        <c:axId val="42006268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Platform</a:t>
                </a:r>
              </a:p>
            </c:rich>
          </c:tx>
          <c:layout>
            <c:manualLayout>
              <c:xMode val="edge"/>
              <c:yMode val="edge"/>
              <c:x val="0.35021868987964061"/>
              <c:y val="0.8242158961886719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0059807"/>
        <c:crosses val="autoZero"/>
        <c:auto val="1"/>
        <c:lblAlgn val="ctr"/>
        <c:lblOffset val="100"/>
        <c:noMultiLvlLbl val="0"/>
      </c:catAx>
      <c:valAx>
        <c:axId val="42005980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900" b="1" i="0" u="none" strike="noStrike" baseline="0"/>
                  <a:t>Ad Spend ($)</a:t>
                </a:r>
                <a:endParaRPr lang="en-US"/>
              </a:p>
            </c:rich>
          </c:tx>
          <c:layout>
            <c:manualLayout>
              <c:xMode val="edge"/>
              <c:yMode val="edge"/>
              <c:x val="1.9523656599480178E-2"/>
              <c:y val="0.4421377004699840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0062687"/>
        <c:crosses val="autoZero"/>
        <c:crossBetween val="between"/>
      </c:valAx>
      <c:valAx>
        <c:axId val="2106805344"/>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Average of Engagement_Rate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6801984"/>
        <c:crosses val="max"/>
        <c:crossBetween val="between"/>
      </c:valAx>
      <c:catAx>
        <c:axId val="2106801984"/>
        <c:scaling>
          <c:orientation val="minMax"/>
        </c:scaling>
        <c:delete val="1"/>
        <c:axPos val="b"/>
        <c:numFmt formatCode="General" sourceLinked="1"/>
        <c:majorTickMark val="out"/>
        <c:minorTickMark val="none"/>
        <c:tickLblPos val="nextTo"/>
        <c:crossAx val="2106805344"/>
        <c:crosses val="autoZero"/>
        <c:auto val="1"/>
        <c:lblAlgn val="ctr"/>
        <c:lblOffset val="100"/>
        <c:noMultiLvlLbl val="0"/>
      </c:catAx>
      <c:spPr>
        <a:noFill/>
        <a:ln>
          <a:noFill/>
        </a:ln>
        <a:effectLst/>
      </c:spPr>
    </c:plotArea>
    <c:legend>
      <c:legendPos val="r"/>
      <c:layout>
        <c:manualLayout>
          <c:xMode val="edge"/>
          <c:yMode val="edge"/>
          <c:x val="0.72133189797961672"/>
          <c:y val="0.46307136323578618"/>
          <c:w val="0.24622417078444306"/>
          <c:h val="0.193919775830278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[Social_Media_Internship_Assignment_Solution_Harsh_Srivastav.xlsx]All_Task_3_Analysis!PivotTable2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Engagement Rate by Platform</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12700">
              <a:solidFill>
                <a:schemeClr val="lt2"/>
              </a:solidFill>
              <a:round/>
            </a:ln>
            <a:effectLst>
              <a:outerShdw blurRad="50800" dist="38100" dir="14700000" algn="t"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All_Task_3_Analysis!$B$2</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All_Task_3_Analysis!$A$3:$A$6</c:f>
              <c:strCache>
                <c:ptCount val="3"/>
                <c:pt idx="0">
                  <c:v>Twitter</c:v>
                </c:pt>
                <c:pt idx="1">
                  <c:v>YouTube</c:v>
                </c:pt>
                <c:pt idx="2">
                  <c:v>Instagram</c:v>
                </c:pt>
              </c:strCache>
            </c:strRef>
          </c:cat>
          <c:val>
            <c:numRef>
              <c:f>All_Task_3_Analysis!$B$3:$B$6</c:f>
              <c:numCache>
                <c:formatCode>0.00</c:formatCode>
                <c:ptCount val="3"/>
                <c:pt idx="0">
                  <c:v>6.8856716417910446</c:v>
                </c:pt>
                <c:pt idx="1">
                  <c:v>6.7189393939393929</c:v>
                </c:pt>
                <c:pt idx="2">
                  <c:v>6.4582089552238831</c:v>
                </c:pt>
              </c:numCache>
            </c:numRef>
          </c:val>
          <c:extLst>
            <c:ext xmlns:c16="http://schemas.microsoft.com/office/drawing/2014/chart" uri="{C3380CC4-5D6E-409C-BE32-E72D297353CC}">
              <c16:uniqueId val="{00000000-C48D-45E4-A758-0579954C6829}"/>
            </c:ext>
          </c:extLst>
        </c:ser>
        <c:dLbls>
          <c:dLblPos val="outEnd"/>
          <c:showLegendKey val="0"/>
          <c:showVal val="1"/>
          <c:showCatName val="0"/>
          <c:showSerName val="0"/>
          <c:showPercent val="0"/>
          <c:showBubbleSize val="0"/>
        </c:dLbls>
        <c:gapWidth val="100"/>
        <c:overlap val="-24"/>
        <c:axId val="479413264"/>
        <c:axId val="479415184"/>
      </c:barChart>
      <c:catAx>
        <c:axId val="47941326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Platform</a:t>
                </a:r>
              </a:p>
            </c:rich>
          </c:tx>
          <c:layout>
            <c:manualLayout>
              <c:xMode val="edge"/>
              <c:yMode val="edge"/>
              <c:x val="0.4543928787753424"/>
              <c:y val="0.8423805296616189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79415184"/>
        <c:crosses val="autoZero"/>
        <c:auto val="1"/>
        <c:lblAlgn val="ctr"/>
        <c:lblOffset val="100"/>
        <c:noMultiLvlLbl val="0"/>
      </c:catAx>
      <c:valAx>
        <c:axId val="47941518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Average Engagement Rate</a:t>
                </a:r>
              </a:p>
            </c:rich>
          </c:tx>
          <c:layout>
            <c:manualLayout>
              <c:xMode val="edge"/>
              <c:yMode val="edge"/>
              <c:x val="1.4061589106575199E-2"/>
              <c:y val="0.260693523478456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7941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[Social_Media_Internship_Assignment_Solution_Harsh_Srivastav.xlsx]All_Task_4_Analysis!PivotTable1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Content Type Performance Across Platforms Chart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12700">
              <a:solidFill>
                <a:schemeClr val="lt2"/>
              </a:solidFill>
              <a:round/>
            </a:ln>
            <a:effectLst>
              <a:outerShdw blurRad="50800" dist="38100" dir="14700000" algn="t"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circle"/>
          <c:size val="6"/>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w="12700">
              <a:solidFill>
                <a:schemeClr val="lt2"/>
              </a:solidFill>
              <a:round/>
            </a:ln>
            <a:effectLst>
              <a:outerShdw blurRad="50800" dist="38100" dir="14700000" algn="t"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circle"/>
          <c:size val="6"/>
          <c:spPr>
            <a:gradFill rotWithShape="1">
              <a:gsLst>
                <a:gs pos="0">
                  <a:schemeClr val="accent3">
                    <a:tint val="60000"/>
                    <a:satMod val="160000"/>
                  </a:schemeClr>
                </a:gs>
                <a:gs pos="46000">
                  <a:schemeClr val="accent3">
                    <a:tint val="86000"/>
                    <a:satMod val="160000"/>
                  </a:schemeClr>
                </a:gs>
                <a:gs pos="100000">
                  <a:schemeClr val="accent3">
                    <a:shade val="40000"/>
                    <a:satMod val="160000"/>
                  </a:schemeClr>
                </a:gs>
              </a:gsLst>
              <a:path path="circle">
                <a:fillToRect l="50000" t="155000" r="50000" b="-55000"/>
              </a:path>
            </a:gradFill>
            <a:ln w="12700">
              <a:solidFill>
                <a:schemeClr val="lt2"/>
              </a:solidFill>
              <a:round/>
            </a:ln>
            <a:effectLst>
              <a:outerShdw blurRad="50800" dist="38100" dir="14700000" algn="t"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All_Task_4_Analysis!$B$28:$B$29</c:f>
              <c:strCache>
                <c:ptCount val="1"/>
                <c:pt idx="0">
                  <c:v>Instagram</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All_Task_4_Analysis!$A$30:$A$33</c:f>
              <c:strCache>
                <c:ptCount val="3"/>
                <c:pt idx="0">
                  <c:v>Reel</c:v>
                </c:pt>
                <c:pt idx="1">
                  <c:v>Story</c:v>
                </c:pt>
                <c:pt idx="2">
                  <c:v>Text</c:v>
                </c:pt>
              </c:strCache>
            </c:strRef>
          </c:cat>
          <c:val>
            <c:numRef>
              <c:f>All_Task_4_Analysis!$B$30:$B$33</c:f>
              <c:numCache>
                <c:formatCode>0.00%</c:formatCode>
                <c:ptCount val="3"/>
                <c:pt idx="1">
                  <c:v>9.5509123528654066E-2</c:v>
                </c:pt>
                <c:pt idx="2">
                  <c:v>8.9151970703401293E-2</c:v>
                </c:pt>
              </c:numCache>
            </c:numRef>
          </c:val>
          <c:extLst>
            <c:ext xmlns:c16="http://schemas.microsoft.com/office/drawing/2014/chart" uri="{C3380CC4-5D6E-409C-BE32-E72D297353CC}">
              <c16:uniqueId val="{00000000-22BF-4368-B9B3-BAA910F1423D}"/>
            </c:ext>
          </c:extLst>
        </c:ser>
        <c:ser>
          <c:idx val="1"/>
          <c:order val="1"/>
          <c:tx>
            <c:strRef>
              <c:f>All_Task_4_Analysis!$C$28:$C$29</c:f>
              <c:strCache>
                <c:ptCount val="1"/>
                <c:pt idx="0">
                  <c:v>Twitter</c:v>
                </c:pt>
              </c:strCache>
            </c:strRef>
          </c:tx>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All_Task_4_Analysis!$A$30:$A$33</c:f>
              <c:strCache>
                <c:ptCount val="3"/>
                <c:pt idx="0">
                  <c:v>Reel</c:v>
                </c:pt>
                <c:pt idx="1">
                  <c:v>Story</c:v>
                </c:pt>
                <c:pt idx="2">
                  <c:v>Text</c:v>
                </c:pt>
              </c:strCache>
            </c:strRef>
          </c:cat>
          <c:val>
            <c:numRef>
              <c:f>All_Task_4_Analysis!$C$30:$C$33</c:f>
              <c:numCache>
                <c:formatCode>0.00%</c:formatCode>
                <c:ptCount val="3"/>
                <c:pt idx="1">
                  <c:v>9.6350204330797537E-2</c:v>
                </c:pt>
                <c:pt idx="2">
                  <c:v>9.5584491232904453E-2</c:v>
                </c:pt>
              </c:numCache>
            </c:numRef>
          </c:val>
          <c:extLst>
            <c:ext xmlns:c16="http://schemas.microsoft.com/office/drawing/2014/chart" uri="{C3380CC4-5D6E-409C-BE32-E72D297353CC}">
              <c16:uniqueId val="{00000001-22BF-4368-B9B3-BAA910F1423D}"/>
            </c:ext>
          </c:extLst>
        </c:ser>
        <c:ser>
          <c:idx val="2"/>
          <c:order val="2"/>
          <c:tx>
            <c:strRef>
              <c:f>All_Task_4_Analysis!$D$28:$D$29</c:f>
              <c:strCache>
                <c:ptCount val="1"/>
                <c:pt idx="0">
                  <c:v>YouTube</c:v>
                </c:pt>
              </c:strCache>
            </c:strRef>
          </c:tx>
          <c:spPr>
            <a:gradFill rotWithShape="1">
              <a:gsLst>
                <a:gs pos="0">
                  <a:schemeClr val="accent3">
                    <a:tint val="60000"/>
                    <a:satMod val="160000"/>
                  </a:schemeClr>
                </a:gs>
                <a:gs pos="46000">
                  <a:schemeClr val="accent3">
                    <a:tint val="86000"/>
                    <a:satMod val="160000"/>
                  </a:schemeClr>
                </a:gs>
                <a:gs pos="100000">
                  <a:schemeClr val="accent3">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All_Task_4_Analysis!$A$30:$A$33</c:f>
              <c:strCache>
                <c:ptCount val="3"/>
                <c:pt idx="0">
                  <c:v>Reel</c:v>
                </c:pt>
                <c:pt idx="1">
                  <c:v>Story</c:v>
                </c:pt>
                <c:pt idx="2">
                  <c:v>Text</c:v>
                </c:pt>
              </c:strCache>
            </c:strRef>
          </c:cat>
          <c:val>
            <c:numRef>
              <c:f>All_Task_4_Analysis!$D$30:$D$33</c:f>
              <c:numCache>
                <c:formatCode>0.00%</c:formatCode>
                <c:ptCount val="3"/>
                <c:pt idx="0">
                  <c:v>9.010688153503349E-2</c:v>
                </c:pt>
                <c:pt idx="2">
                  <c:v>8.640329129367573E-2</c:v>
                </c:pt>
              </c:numCache>
            </c:numRef>
          </c:val>
          <c:extLst>
            <c:ext xmlns:c16="http://schemas.microsoft.com/office/drawing/2014/chart" uri="{C3380CC4-5D6E-409C-BE32-E72D297353CC}">
              <c16:uniqueId val="{00000002-22BF-4368-B9B3-BAA910F1423D}"/>
            </c:ext>
          </c:extLst>
        </c:ser>
        <c:dLbls>
          <c:dLblPos val="outEnd"/>
          <c:showLegendKey val="0"/>
          <c:showVal val="1"/>
          <c:showCatName val="0"/>
          <c:showSerName val="0"/>
          <c:showPercent val="0"/>
          <c:showBubbleSize val="0"/>
        </c:dLbls>
        <c:gapWidth val="100"/>
        <c:overlap val="-24"/>
        <c:axId val="1508021887"/>
        <c:axId val="1508037727"/>
      </c:barChart>
      <c:catAx>
        <c:axId val="150802188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Content Type</a:t>
                </a:r>
              </a:p>
            </c:rich>
          </c:tx>
          <c:layout>
            <c:manualLayout>
              <c:xMode val="edge"/>
              <c:yMode val="edge"/>
              <c:x val="0.42665247925090438"/>
              <c:y val="0.8396854489417691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8037727"/>
        <c:crosses val="autoZero"/>
        <c:auto val="1"/>
        <c:lblAlgn val="ctr"/>
        <c:lblOffset val="100"/>
        <c:noMultiLvlLbl val="0"/>
      </c:catAx>
      <c:valAx>
        <c:axId val="150803772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Average of Engagement Rate</a:t>
                </a:r>
              </a:p>
            </c:rich>
          </c:tx>
          <c:layout>
            <c:manualLayout>
              <c:xMode val="edge"/>
              <c:yMode val="edge"/>
              <c:x val="2.4774774774774775E-2"/>
              <c:y val="0.237839304547269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802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[Social_Media_Internship_Assignment_Solution_Harsh_Srivastav.xlsx]All_Task_4_Analysis!PivotTable14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Most Frequent Hashtags and Average Engagement Chart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12700">
              <a:solidFill>
                <a:schemeClr val="lt2"/>
              </a:solidFill>
              <a:round/>
            </a:ln>
            <a:effectLst>
              <a:outerShdw blurRad="50800" dist="38100" dir="14700000" algn="t"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a:outerShdw blurRad="50800" dist="38100" dir="14700000" algn="t" rotWithShape="0">
              <a:srgbClr val="000000">
                <a:alpha val="60000"/>
              </a:srgbClr>
            </a:outerShdw>
          </a:effectLst>
        </c:spPr>
        <c:marker>
          <c:symbol val="circle"/>
          <c:size val="6"/>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w="12700">
              <a:solidFill>
                <a:schemeClr val="lt2"/>
              </a:solidFill>
              <a:round/>
            </a:ln>
            <a:effectLst>
              <a:outerShdw blurRad="50800" dist="38100" dir="14700000" algn="t"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All_Task_4_Analysis!$B$4</c:f>
              <c:strCache>
                <c:ptCount val="1"/>
                <c:pt idx="0">
                  <c:v>Count of All_Hashtags</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All_Task_4_Analysis!$A$5:$A$10</c:f>
              <c:strCache>
                <c:ptCount val="5"/>
                <c:pt idx="0">
                  <c:v>#NowPlaying</c:v>
                </c:pt>
                <c:pt idx="1">
                  <c:v>#DiscoverWeekly</c:v>
                </c:pt>
                <c:pt idx="2">
                  <c:v>#SoundtrackOfLife</c:v>
                </c:pt>
                <c:pt idx="3">
                  <c:v>#MusicForEveryone</c:v>
                </c:pt>
                <c:pt idx="4">
                  <c:v>#SpotifyWrapped</c:v>
                </c:pt>
              </c:strCache>
            </c:strRef>
          </c:cat>
          <c:val>
            <c:numRef>
              <c:f>All_Task_4_Analysis!$B$5:$B$10</c:f>
              <c:numCache>
                <c:formatCode>General</c:formatCode>
                <c:ptCount val="5"/>
                <c:pt idx="0">
                  <c:v>143</c:v>
                </c:pt>
                <c:pt idx="1">
                  <c:v>130</c:v>
                </c:pt>
                <c:pt idx="2">
                  <c:v>109</c:v>
                </c:pt>
                <c:pt idx="3">
                  <c:v>67</c:v>
                </c:pt>
                <c:pt idx="4">
                  <c:v>34</c:v>
                </c:pt>
              </c:numCache>
            </c:numRef>
          </c:val>
          <c:extLst>
            <c:ext xmlns:c16="http://schemas.microsoft.com/office/drawing/2014/chart" uri="{C3380CC4-5D6E-409C-BE32-E72D297353CC}">
              <c16:uniqueId val="{00000000-1199-4854-8007-77ED6BF75B32}"/>
            </c:ext>
          </c:extLst>
        </c:ser>
        <c:dLbls>
          <c:showLegendKey val="0"/>
          <c:showVal val="1"/>
          <c:showCatName val="0"/>
          <c:showSerName val="0"/>
          <c:showPercent val="0"/>
          <c:showBubbleSize val="0"/>
        </c:dLbls>
        <c:gapWidth val="219"/>
        <c:overlap val="-27"/>
        <c:axId val="1654682767"/>
        <c:axId val="1654670767"/>
      </c:barChart>
      <c:lineChart>
        <c:grouping val="standard"/>
        <c:varyColors val="0"/>
        <c:ser>
          <c:idx val="1"/>
          <c:order val="1"/>
          <c:tx>
            <c:strRef>
              <c:f>All_Task_4_Analysis!$C$4</c:f>
              <c:strCache>
                <c:ptCount val="1"/>
                <c:pt idx="0">
                  <c:v>Average of Engagement Rate</c:v>
                </c:pt>
              </c:strCache>
            </c:strRef>
          </c:tx>
          <c:spPr>
            <a:ln w="31750" cap="rnd">
              <a:solidFill>
                <a:schemeClr val="accent2"/>
              </a:solidFill>
              <a:round/>
            </a:ln>
            <a:effectLst>
              <a:outerShdw blurRad="50800" dist="38100" dir="14700000" algn="t" rotWithShape="0">
                <a:srgbClr val="000000">
                  <a:alpha val="60000"/>
                </a:srgbClr>
              </a:outerShdw>
            </a:effectLst>
          </c:spPr>
          <c:marker>
            <c:symbol val="circle"/>
            <c:size val="6"/>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w="12700">
                <a:solidFill>
                  <a:schemeClr val="lt2"/>
                </a:solidFill>
                <a:round/>
              </a:ln>
              <a:effectLst>
                <a:outerShdw blurRad="50800" dist="38100" dir="14700000" algn="t" rotWithShape="0">
                  <a:srgbClr val="000000">
                    <a:alpha val="60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All_Task_4_Analysis!$A$5:$A$10</c:f>
              <c:strCache>
                <c:ptCount val="5"/>
                <c:pt idx="0">
                  <c:v>#NowPlaying</c:v>
                </c:pt>
                <c:pt idx="1">
                  <c:v>#DiscoverWeekly</c:v>
                </c:pt>
                <c:pt idx="2">
                  <c:v>#SoundtrackOfLife</c:v>
                </c:pt>
                <c:pt idx="3">
                  <c:v>#MusicForEveryone</c:v>
                </c:pt>
                <c:pt idx="4">
                  <c:v>#SpotifyWrapped</c:v>
                </c:pt>
              </c:strCache>
            </c:strRef>
          </c:cat>
          <c:val>
            <c:numRef>
              <c:f>All_Task_4_Analysis!$C$5:$C$10</c:f>
              <c:numCache>
                <c:formatCode>0.00%</c:formatCode>
                <c:ptCount val="5"/>
                <c:pt idx="0">
                  <c:v>9.8567431094720465E-2</c:v>
                </c:pt>
                <c:pt idx="1">
                  <c:v>8.760663345122878E-2</c:v>
                </c:pt>
                <c:pt idx="2">
                  <c:v>9.4448669905002475E-2</c:v>
                </c:pt>
                <c:pt idx="3">
                  <c:v>8.9057449367429223E-2</c:v>
                </c:pt>
                <c:pt idx="4">
                  <c:v>8.6403291293675744E-2</c:v>
                </c:pt>
              </c:numCache>
            </c:numRef>
          </c:val>
          <c:smooth val="0"/>
          <c:extLst>
            <c:ext xmlns:c16="http://schemas.microsoft.com/office/drawing/2014/chart" uri="{C3380CC4-5D6E-409C-BE32-E72D297353CC}">
              <c16:uniqueId val="{00000001-1199-4854-8007-77ED6BF75B32}"/>
            </c:ext>
          </c:extLst>
        </c:ser>
        <c:dLbls>
          <c:showLegendKey val="0"/>
          <c:showVal val="1"/>
          <c:showCatName val="0"/>
          <c:showSerName val="0"/>
          <c:showPercent val="0"/>
          <c:showBubbleSize val="0"/>
        </c:dLbls>
        <c:marker val="1"/>
        <c:smooth val="0"/>
        <c:axId val="1654672207"/>
        <c:axId val="1654688527"/>
      </c:lineChart>
      <c:catAx>
        <c:axId val="165468276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Hashtags</a:t>
                </a:r>
              </a:p>
            </c:rich>
          </c:tx>
          <c:layout>
            <c:manualLayout>
              <c:xMode val="edge"/>
              <c:yMode val="edge"/>
              <c:x val="0.44588544079048936"/>
              <c:y val="0.6692438286986278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54670767"/>
        <c:crosses val="autoZero"/>
        <c:auto val="1"/>
        <c:lblAlgn val="ctr"/>
        <c:lblOffset val="100"/>
        <c:noMultiLvlLbl val="0"/>
      </c:catAx>
      <c:valAx>
        <c:axId val="165467076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Count of All_Hashtags</a:t>
                </a:r>
              </a:p>
            </c:rich>
          </c:tx>
          <c:layout>
            <c:manualLayout>
              <c:xMode val="edge"/>
              <c:yMode val="edge"/>
              <c:x val="1.6687526074259492E-2"/>
              <c:y val="0.24417522176816503"/>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54682767"/>
        <c:crosses val="autoZero"/>
        <c:crossBetween val="between"/>
      </c:valAx>
      <c:valAx>
        <c:axId val="1654688527"/>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Average of Engagement Rate</a:t>
                </a:r>
              </a:p>
            </c:rich>
          </c:tx>
          <c:layout>
            <c:manualLayout>
              <c:xMode val="edge"/>
              <c:yMode val="edge"/>
              <c:x val="0.95159566255719896"/>
              <c:y val="0.1893229010930595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54672207"/>
        <c:crosses val="max"/>
        <c:crossBetween val="between"/>
      </c:valAx>
      <c:catAx>
        <c:axId val="1654672207"/>
        <c:scaling>
          <c:orientation val="minMax"/>
        </c:scaling>
        <c:delete val="1"/>
        <c:axPos val="b"/>
        <c:numFmt formatCode="General" sourceLinked="1"/>
        <c:majorTickMark val="none"/>
        <c:minorTickMark val="none"/>
        <c:tickLblPos val="nextTo"/>
        <c:crossAx val="165468852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Campaign with strongest follower chart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All_Task_5_Analysis!$A$100:$C$100</c:f>
              <c:strCache>
                <c:ptCount val="3"/>
                <c:pt idx="0">
                  <c:v>ChillVibes</c:v>
                </c:pt>
                <c:pt idx="1">
                  <c:v>10/1/2025</c:v>
                </c:pt>
                <c:pt idx="2">
                  <c:v>10/2/2025</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All_Task_5_Analysis!$D$99</c:f>
              <c:strCache>
                <c:ptCount val="1"/>
                <c:pt idx="0">
                  <c:v>Total Follower Gain</c:v>
                </c:pt>
              </c:strCache>
            </c:strRef>
          </c:cat>
          <c:val>
            <c:numRef>
              <c:f>All_Task_5_Analysis!$D$100</c:f>
              <c:numCache>
                <c:formatCode>General</c:formatCode>
                <c:ptCount val="1"/>
                <c:pt idx="0">
                  <c:v>10142</c:v>
                </c:pt>
              </c:numCache>
            </c:numRef>
          </c:val>
          <c:extLst>
            <c:ext xmlns:c16="http://schemas.microsoft.com/office/drawing/2014/chart" uri="{C3380CC4-5D6E-409C-BE32-E72D297353CC}">
              <c16:uniqueId val="{00000000-22D6-4397-A374-FD0431D79E67}"/>
            </c:ext>
          </c:extLst>
        </c:ser>
        <c:ser>
          <c:idx val="1"/>
          <c:order val="1"/>
          <c:tx>
            <c:strRef>
              <c:f>All_Task_5_Analysis!$A$101:$C$101</c:f>
              <c:strCache>
                <c:ptCount val="3"/>
                <c:pt idx="0">
                  <c:v>IndieWave</c:v>
                </c:pt>
                <c:pt idx="1">
                  <c:v>1/3/2025</c:v>
                </c:pt>
                <c:pt idx="2">
                  <c:v>31/3/2025</c:v>
                </c:pt>
              </c:strCache>
            </c:strRef>
          </c:tx>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All_Task_5_Analysis!$D$99</c:f>
              <c:strCache>
                <c:ptCount val="1"/>
                <c:pt idx="0">
                  <c:v>Total Follower Gain</c:v>
                </c:pt>
              </c:strCache>
            </c:strRef>
          </c:cat>
          <c:val>
            <c:numRef>
              <c:f>All_Task_5_Analysis!$D$101</c:f>
              <c:numCache>
                <c:formatCode>General</c:formatCode>
                <c:ptCount val="1"/>
                <c:pt idx="0">
                  <c:v>12726</c:v>
                </c:pt>
              </c:numCache>
            </c:numRef>
          </c:val>
          <c:extLst>
            <c:ext xmlns:c16="http://schemas.microsoft.com/office/drawing/2014/chart" uri="{C3380CC4-5D6E-409C-BE32-E72D297353CC}">
              <c16:uniqueId val="{00000001-22D6-4397-A374-FD0431D79E67}"/>
            </c:ext>
          </c:extLst>
        </c:ser>
        <c:ser>
          <c:idx val="2"/>
          <c:order val="2"/>
          <c:tx>
            <c:strRef>
              <c:f>All_Task_5_Analysis!$A$102:$C$102</c:f>
              <c:strCache>
                <c:ptCount val="3"/>
                <c:pt idx="0">
                  <c:v>SummerBeats</c:v>
                </c:pt>
                <c:pt idx="1">
                  <c:v>15/6/2024</c:v>
                </c:pt>
                <c:pt idx="2">
                  <c:v>15/7/2024</c:v>
                </c:pt>
              </c:strCache>
            </c:strRef>
          </c:tx>
          <c:spPr>
            <a:gradFill rotWithShape="1">
              <a:gsLst>
                <a:gs pos="0">
                  <a:schemeClr val="accent3">
                    <a:tint val="60000"/>
                    <a:satMod val="160000"/>
                  </a:schemeClr>
                </a:gs>
                <a:gs pos="46000">
                  <a:schemeClr val="accent3">
                    <a:tint val="86000"/>
                    <a:satMod val="160000"/>
                  </a:schemeClr>
                </a:gs>
                <a:gs pos="100000">
                  <a:schemeClr val="accent3">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All_Task_5_Analysis!$D$99</c:f>
              <c:strCache>
                <c:ptCount val="1"/>
                <c:pt idx="0">
                  <c:v>Total Follower Gain</c:v>
                </c:pt>
              </c:strCache>
            </c:strRef>
          </c:cat>
          <c:val>
            <c:numRef>
              <c:f>All_Task_5_Analysis!$D$102</c:f>
              <c:numCache>
                <c:formatCode>General</c:formatCode>
                <c:ptCount val="1"/>
                <c:pt idx="0">
                  <c:v>13558</c:v>
                </c:pt>
              </c:numCache>
            </c:numRef>
          </c:val>
          <c:extLst>
            <c:ext xmlns:c16="http://schemas.microsoft.com/office/drawing/2014/chart" uri="{C3380CC4-5D6E-409C-BE32-E72D297353CC}">
              <c16:uniqueId val="{00000002-22D6-4397-A374-FD0431D79E67}"/>
            </c:ext>
          </c:extLst>
        </c:ser>
        <c:ser>
          <c:idx val="3"/>
          <c:order val="3"/>
          <c:tx>
            <c:strRef>
              <c:f>All_Task_5_Analysis!$A$103:$C$103</c:f>
              <c:strCache>
                <c:ptCount val="3"/>
                <c:pt idx="0">
                  <c:v>Wrapped2024</c:v>
                </c:pt>
                <c:pt idx="1">
                  <c:v>1/12/2024</c:v>
                </c:pt>
                <c:pt idx="2">
                  <c:v>31/12/2024</c:v>
                </c:pt>
              </c:strCache>
            </c:strRef>
          </c:tx>
          <c:spPr>
            <a:gradFill rotWithShape="1">
              <a:gsLst>
                <a:gs pos="0">
                  <a:schemeClr val="accent4">
                    <a:tint val="60000"/>
                    <a:satMod val="160000"/>
                  </a:schemeClr>
                </a:gs>
                <a:gs pos="46000">
                  <a:schemeClr val="accent4">
                    <a:tint val="86000"/>
                    <a:satMod val="160000"/>
                  </a:schemeClr>
                </a:gs>
                <a:gs pos="100000">
                  <a:schemeClr val="accent4">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All_Task_5_Analysis!$D$99</c:f>
              <c:strCache>
                <c:ptCount val="1"/>
                <c:pt idx="0">
                  <c:v>Total Follower Gain</c:v>
                </c:pt>
              </c:strCache>
            </c:strRef>
          </c:cat>
          <c:val>
            <c:numRef>
              <c:f>All_Task_5_Analysis!$D$103</c:f>
              <c:numCache>
                <c:formatCode>General</c:formatCode>
                <c:ptCount val="1"/>
                <c:pt idx="0">
                  <c:v>11361</c:v>
                </c:pt>
              </c:numCache>
            </c:numRef>
          </c:val>
          <c:extLst>
            <c:ext xmlns:c16="http://schemas.microsoft.com/office/drawing/2014/chart" uri="{C3380CC4-5D6E-409C-BE32-E72D297353CC}">
              <c16:uniqueId val="{00000003-22D6-4397-A374-FD0431D79E67}"/>
            </c:ext>
          </c:extLst>
        </c:ser>
        <c:dLbls>
          <c:dLblPos val="outEnd"/>
          <c:showLegendKey val="0"/>
          <c:showVal val="1"/>
          <c:showCatName val="0"/>
          <c:showSerName val="0"/>
          <c:showPercent val="0"/>
          <c:showBubbleSize val="0"/>
        </c:dLbls>
        <c:gapWidth val="100"/>
        <c:overlap val="-24"/>
        <c:axId val="805659968"/>
        <c:axId val="805660928"/>
      </c:barChart>
      <c:catAx>
        <c:axId val="80565996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05660928"/>
        <c:crosses val="autoZero"/>
        <c:auto val="1"/>
        <c:lblAlgn val="ctr"/>
        <c:lblOffset val="100"/>
        <c:noMultiLvlLbl val="0"/>
      </c:catAx>
      <c:valAx>
        <c:axId val="80566092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05659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Campaign Uplift Comparison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All_Task_5_Analysis!$F$42</c:f>
              <c:strCache>
                <c:ptCount val="1"/>
                <c:pt idx="0">
                  <c:v>Uplift %</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All_Task_5_Analysis!$A$43:$A$46</c:f>
              <c:strCache>
                <c:ptCount val="4"/>
                <c:pt idx="0">
                  <c:v>ChillVibes</c:v>
                </c:pt>
                <c:pt idx="1">
                  <c:v>IndieWave</c:v>
                </c:pt>
                <c:pt idx="2">
                  <c:v>SummerBeats</c:v>
                </c:pt>
                <c:pt idx="3">
                  <c:v>Wrapped2024</c:v>
                </c:pt>
              </c:strCache>
            </c:strRef>
          </c:cat>
          <c:val>
            <c:numRef>
              <c:f>All_Task_5_Analysis!$F$43:$F$46</c:f>
              <c:numCache>
                <c:formatCode>0.00%</c:formatCode>
                <c:ptCount val="4"/>
                <c:pt idx="0">
                  <c:v>8.6004489031832346E-2</c:v>
                </c:pt>
                <c:pt idx="1">
                  <c:v>0.27399145526583674</c:v>
                </c:pt>
                <c:pt idx="2">
                  <c:v>-0.14942750758599546</c:v>
                </c:pt>
                <c:pt idx="3">
                  <c:v>1.1956008842546102</c:v>
                </c:pt>
              </c:numCache>
            </c:numRef>
          </c:val>
          <c:extLst>
            <c:ext xmlns:c16="http://schemas.microsoft.com/office/drawing/2014/chart" uri="{C3380CC4-5D6E-409C-BE32-E72D297353CC}">
              <c16:uniqueId val="{00000000-51C0-412B-8A92-1211E846C797}"/>
            </c:ext>
          </c:extLst>
        </c:ser>
        <c:dLbls>
          <c:dLblPos val="outEnd"/>
          <c:showLegendKey val="0"/>
          <c:showVal val="1"/>
          <c:showCatName val="0"/>
          <c:showSerName val="0"/>
          <c:showPercent val="0"/>
          <c:showBubbleSize val="0"/>
        </c:dLbls>
        <c:gapWidth val="100"/>
        <c:overlap val="-24"/>
        <c:axId val="1722938160"/>
        <c:axId val="1722937200"/>
      </c:barChart>
      <c:catAx>
        <c:axId val="172293816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Campaign_Name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2937200"/>
        <c:crosses val="autoZero"/>
        <c:auto val="1"/>
        <c:lblAlgn val="ctr"/>
        <c:lblOffset val="100"/>
        <c:noMultiLvlLbl val="0"/>
      </c:catAx>
      <c:valAx>
        <c:axId val="17229372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Uplift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293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ROI Comparison Chart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All_Task_5_Analysis!$A$65</c:f>
              <c:strCache>
                <c:ptCount val="1"/>
                <c:pt idx="0">
                  <c:v>ChillVibes</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All_Task_5_Analysis!$J$64</c:f>
              <c:strCache>
                <c:ptCount val="1"/>
                <c:pt idx="0">
                  <c:v>ROI</c:v>
                </c:pt>
              </c:strCache>
            </c:strRef>
          </c:cat>
          <c:val>
            <c:numRef>
              <c:f>All_Task_5_Analysis!$J$65</c:f>
              <c:numCache>
                <c:formatCode>0.00%</c:formatCode>
                <c:ptCount val="1"/>
                <c:pt idx="0">
                  <c:v>0.21148118733247295</c:v>
                </c:pt>
              </c:numCache>
            </c:numRef>
          </c:val>
          <c:extLst>
            <c:ext xmlns:c16="http://schemas.microsoft.com/office/drawing/2014/chart" uri="{C3380CC4-5D6E-409C-BE32-E72D297353CC}">
              <c16:uniqueId val="{00000000-48DB-4693-B31D-827B597E5A5F}"/>
            </c:ext>
          </c:extLst>
        </c:ser>
        <c:ser>
          <c:idx val="1"/>
          <c:order val="1"/>
          <c:tx>
            <c:strRef>
              <c:f>All_Task_5_Analysis!$A$66</c:f>
              <c:strCache>
                <c:ptCount val="1"/>
                <c:pt idx="0">
                  <c:v>IndieWave</c:v>
                </c:pt>
              </c:strCache>
            </c:strRef>
          </c:tx>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All_Task_5_Analysis!$J$64</c:f>
              <c:strCache>
                <c:ptCount val="1"/>
                <c:pt idx="0">
                  <c:v>ROI</c:v>
                </c:pt>
              </c:strCache>
            </c:strRef>
          </c:cat>
          <c:val>
            <c:numRef>
              <c:f>All_Task_5_Analysis!$J$66</c:f>
              <c:numCache>
                <c:formatCode>0.00%</c:formatCode>
                <c:ptCount val="1"/>
                <c:pt idx="0">
                  <c:v>0.11546705638777251</c:v>
                </c:pt>
              </c:numCache>
            </c:numRef>
          </c:val>
          <c:extLst>
            <c:ext xmlns:c16="http://schemas.microsoft.com/office/drawing/2014/chart" uri="{C3380CC4-5D6E-409C-BE32-E72D297353CC}">
              <c16:uniqueId val="{00000001-48DB-4693-B31D-827B597E5A5F}"/>
            </c:ext>
          </c:extLst>
        </c:ser>
        <c:ser>
          <c:idx val="2"/>
          <c:order val="2"/>
          <c:tx>
            <c:strRef>
              <c:f>All_Task_5_Analysis!$A$67</c:f>
              <c:strCache>
                <c:ptCount val="1"/>
                <c:pt idx="0">
                  <c:v>SummerBeats</c:v>
                </c:pt>
              </c:strCache>
            </c:strRef>
          </c:tx>
          <c:spPr>
            <a:gradFill rotWithShape="1">
              <a:gsLst>
                <a:gs pos="0">
                  <a:schemeClr val="accent3">
                    <a:tint val="60000"/>
                    <a:satMod val="160000"/>
                  </a:schemeClr>
                </a:gs>
                <a:gs pos="46000">
                  <a:schemeClr val="accent3">
                    <a:tint val="86000"/>
                    <a:satMod val="160000"/>
                  </a:schemeClr>
                </a:gs>
                <a:gs pos="100000">
                  <a:schemeClr val="accent3">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All_Task_5_Analysis!$J$64</c:f>
              <c:strCache>
                <c:ptCount val="1"/>
                <c:pt idx="0">
                  <c:v>ROI</c:v>
                </c:pt>
              </c:strCache>
            </c:strRef>
          </c:cat>
          <c:val>
            <c:numRef>
              <c:f>All_Task_5_Analysis!$J$67</c:f>
              <c:numCache>
                <c:formatCode>0.00%</c:formatCode>
                <c:ptCount val="1"/>
                <c:pt idx="0">
                  <c:v>3.0220660676344557E-2</c:v>
                </c:pt>
              </c:numCache>
            </c:numRef>
          </c:val>
          <c:extLst>
            <c:ext xmlns:c16="http://schemas.microsoft.com/office/drawing/2014/chart" uri="{C3380CC4-5D6E-409C-BE32-E72D297353CC}">
              <c16:uniqueId val="{00000002-48DB-4693-B31D-827B597E5A5F}"/>
            </c:ext>
          </c:extLst>
        </c:ser>
        <c:ser>
          <c:idx val="3"/>
          <c:order val="3"/>
          <c:tx>
            <c:strRef>
              <c:f>All_Task_5_Analysis!$A$68</c:f>
              <c:strCache>
                <c:ptCount val="1"/>
                <c:pt idx="0">
                  <c:v>Wrapped2024</c:v>
                </c:pt>
              </c:strCache>
            </c:strRef>
          </c:tx>
          <c:spPr>
            <a:gradFill rotWithShape="1">
              <a:gsLst>
                <a:gs pos="0">
                  <a:schemeClr val="accent4">
                    <a:tint val="60000"/>
                    <a:satMod val="160000"/>
                  </a:schemeClr>
                </a:gs>
                <a:gs pos="46000">
                  <a:schemeClr val="accent4">
                    <a:tint val="86000"/>
                    <a:satMod val="160000"/>
                  </a:schemeClr>
                </a:gs>
                <a:gs pos="100000">
                  <a:schemeClr val="accent4">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All_Task_5_Analysis!$J$64</c:f>
              <c:strCache>
                <c:ptCount val="1"/>
                <c:pt idx="0">
                  <c:v>ROI</c:v>
                </c:pt>
              </c:strCache>
            </c:strRef>
          </c:cat>
          <c:val>
            <c:numRef>
              <c:f>All_Task_5_Analysis!$J$68</c:f>
              <c:numCache>
                <c:formatCode>0.00%</c:formatCode>
                <c:ptCount val="1"/>
                <c:pt idx="0">
                  <c:v>4.0188330250546495E-2</c:v>
                </c:pt>
              </c:numCache>
            </c:numRef>
          </c:val>
          <c:extLst>
            <c:ext xmlns:c16="http://schemas.microsoft.com/office/drawing/2014/chart" uri="{C3380CC4-5D6E-409C-BE32-E72D297353CC}">
              <c16:uniqueId val="{00000003-48DB-4693-B31D-827B597E5A5F}"/>
            </c:ext>
          </c:extLst>
        </c:ser>
        <c:dLbls>
          <c:dLblPos val="outEnd"/>
          <c:showLegendKey val="0"/>
          <c:showVal val="1"/>
          <c:showCatName val="0"/>
          <c:showSerName val="0"/>
          <c:showPercent val="0"/>
          <c:showBubbleSize val="0"/>
        </c:dLbls>
        <c:gapWidth val="100"/>
        <c:overlap val="-24"/>
        <c:axId val="813173040"/>
        <c:axId val="813181680"/>
      </c:barChart>
      <c:catAx>
        <c:axId val="81317304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Campaign_Name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3181680"/>
        <c:crosses val="autoZero"/>
        <c:auto val="1"/>
        <c:lblAlgn val="ctr"/>
        <c:lblOffset val="100"/>
        <c:noMultiLvlLbl val="0"/>
      </c:catAx>
      <c:valAx>
        <c:axId val="81318168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ROI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3173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t>Total Engagement vs Ad Spend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All_Task_5_Analysis!$H$64</c:f>
              <c:strCache>
                <c:ptCount val="1"/>
                <c:pt idx="0">
                  <c:v>Total Engagement</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cat>
            <c:strRef>
              <c:f>All_Task_5_Analysis!$A$65:$A$68</c:f>
              <c:strCache>
                <c:ptCount val="4"/>
                <c:pt idx="0">
                  <c:v>ChillVibes</c:v>
                </c:pt>
                <c:pt idx="1">
                  <c:v>IndieWave</c:v>
                </c:pt>
                <c:pt idx="2">
                  <c:v>SummerBeats</c:v>
                </c:pt>
                <c:pt idx="3">
                  <c:v>Wrapped2024</c:v>
                </c:pt>
              </c:strCache>
            </c:strRef>
          </c:cat>
          <c:val>
            <c:numRef>
              <c:f>All_Task_5_Analysis!$H$65:$H$68</c:f>
              <c:numCache>
                <c:formatCode>0.00</c:formatCode>
                <c:ptCount val="4"/>
                <c:pt idx="0">
                  <c:v>42605</c:v>
                </c:pt>
                <c:pt idx="1">
                  <c:v>28443</c:v>
                </c:pt>
                <c:pt idx="2">
                  <c:v>7638</c:v>
                </c:pt>
                <c:pt idx="3">
                  <c:v>9799</c:v>
                </c:pt>
              </c:numCache>
            </c:numRef>
          </c:val>
          <c:extLst>
            <c:ext xmlns:c16="http://schemas.microsoft.com/office/drawing/2014/chart" uri="{C3380CC4-5D6E-409C-BE32-E72D297353CC}">
              <c16:uniqueId val="{00000000-1829-4309-A51A-3A6540423FF4}"/>
            </c:ext>
          </c:extLst>
        </c:ser>
        <c:ser>
          <c:idx val="1"/>
          <c:order val="1"/>
          <c:tx>
            <c:strRef>
              <c:f>All_Task_5_Analysis!$I$64</c:f>
              <c:strCache>
                <c:ptCount val="1"/>
                <c:pt idx="0">
                  <c:v>Total Ad_Spend</c:v>
                </c:pt>
              </c:strCache>
            </c:strRef>
          </c:tx>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cat>
            <c:strRef>
              <c:f>All_Task_5_Analysis!$A$65:$A$68</c:f>
              <c:strCache>
                <c:ptCount val="4"/>
                <c:pt idx="0">
                  <c:v>ChillVibes</c:v>
                </c:pt>
                <c:pt idx="1">
                  <c:v>IndieWave</c:v>
                </c:pt>
                <c:pt idx="2">
                  <c:v>SummerBeats</c:v>
                </c:pt>
                <c:pt idx="3">
                  <c:v>Wrapped2024</c:v>
                </c:pt>
              </c:strCache>
            </c:strRef>
          </c:cat>
          <c:val>
            <c:numRef>
              <c:f>All_Task_5_Analysis!$I$65:$I$68</c:f>
              <c:numCache>
                <c:formatCode>0.00</c:formatCode>
                <c:ptCount val="4"/>
                <c:pt idx="0">
                  <c:v>201460</c:v>
                </c:pt>
                <c:pt idx="1">
                  <c:v>246330</c:v>
                </c:pt>
                <c:pt idx="2">
                  <c:v>252741</c:v>
                </c:pt>
                <c:pt idx="3">
                  <c:v>243827</c:v>
                </c:pt>
              </c:numCache>
            </c:numRef>
          </c:val>
          <c:extLst>
            <c:ext xmlns:c16="http://schemas.microsoft.com/office/drawing/2014/chart" uri="{C3380CC4-5D6E-409C-BE32-E72D297353CC}">
              <c16:uniqueId val="{00000001-1829-4309-A51A-3A6540423FF4}"/>
            </c:ext>
          </c:extLst>
        </c:ser>
        <c:dLbls>
          <c:showLegendKey val="0"/>
          <c:showVal val="0"/>
          <c:showCatName val="0"/>
          <c:showSerName val="0"/>
          <c:showPercent val="0"/>
          <c:showBubbleSize val="0"/>
        </c:dLbls>
        <c:gapWidth val="100"/>
        <c:overlap val="-24"/>
        <c:axId val="900290896"/>
        <c:axId val="900293296"/>
      </c:barChart>
      <c:catAx>
        <c:axId val="9002908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00293296"/>
        <c:crosses val="autoZero"/>
        <c:auto val="1"/>
        <c:lblAlgn val="ctr"/>
        <c:lblOffset val="100"/>
        <c:noMultiLvlLbl val="0"/>
      </c:catAx>
      <c:valAx>
        <c:axId val="900293296"/>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00290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t>Total Campaign Performance Comparison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All_Task_5_Analysis!$D$2</c:f>
              <c:strCache>
                <c:ptCount val="1"/>
                <c:pt idx="0">
                  <c:v>Sum of Impressions</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cat>
            <c:strRef>
              <c:f>All_Task_5_Analysis!$A$3:$A$6</c:f>
              <c:strCache>
                <c:ptCount val="4"/>
                <c:pt idx="0">
                  <c:v>ChillVibes</c:v>
                </c:pt>
                <c:pt idx="1">
                  <c:v>IndieWave</c:v>
                </c:pt>
                <c:pt idx="2">
                  <c:v>SummerBeats</c:v>
                </c:pt>
                <c:pt idx="3">
                  <c:v>Wrapped2024</c:v>
                </c:pt>
              </c:strCache>
            </c:strRef>
          </c:cat>
          <c:val>
            <c:numRef>
              <c:f>All_Task_5_Analysis!$D$3:$D$6</c:f>
              <c:numCache>
                <c:formatCode>0.00</c:formatCode>
                <c:ptCount val="4"/>
                <c:pt idx="0">
                  <c:v>378559</c:v>
                </c:pt>
                <c:pt idx="1">
                  <c:v>262944</c:v>
                </c:pt>
                <c:pt idx="2">
                  <c:v>88805</c:v>
                </c:pt>
                <c:pt idx="3">
                  <c:v>103517</c:v>
                </c:pt>
              </c:numCache>
            </c:numRef>
          </c:val>
          <c:extLst>
            <c:ext xmlns:c16="http://schemas.microsoft.com/office/drawing/2014/chart" uri="{C3380CC4-5D6E-409C-BE32-E72D297353CC}">
              <c16:uniqueId val="{00000000-18C0-4AE9-9931-44333D96942C}"/>
            </c:ext>
          </c:extLst>
        </c:ser>
        <c:ser>
          <c:idx val="1"/>
          <c:order val="1"/>
          <c:tx>
            <c:strRef>
              <c:f>All_Task_5_Analysis!$F$2</c:f>
              <c:strCache>
                <c:ptCount val="1"/>
                <c:pt idx="0">
                  <c:v>Sum of Likes</c:v>
                </c:pt>
              </c:strCache>
            </c:strRef>
          </c:tx>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cat>
            <c:strRef>
              <c:f>All_Task_5_Analysis!$A$3:$A$6</c:f>
              <c:strCache>
                <c:ptCount val="4"/>
                <c:pt idx="0">
                  <c:v>ChillVibes</c:v>
                </c:pt>
                <c:pt idx="1">
                  <c:v>IndieWave</c:v>
                </c:pt>
                <c:pt idx="2">
                  <c:v>SummerBeats</c:v>
                </c:pt>
                <c:pt idx="3">
                  <c:v>Wrapped2024</c:v>
                </c:pt>
              </c:strCache>
            </c:strRef>
          </c:cat>
          <c:val>
            <c:numRef>
              <c:f>All_Task_5_Analysis!$F$3:$F$6</c:f>
              <c:numCache>
                <c:formatCode>0.00</c:formatCode>
                <c:ptCount val="4"/>
                <c:pt idx="0">
                  <c:v>34980</c:v>
                </c:pt>
                <c:pt idx="1">
                  <c:v>23692</c:v>
                </c:pt>
                <c:pt idx="2">
                  <c:v>6372</c:v>
                </c:pt>
                <c:pt idx="3">
                  <c:v>8375</c:v>
                </c:pt>
              </c:numCache>
            </c:numRef>
          </c:val>
          <c:extLst>
            <c:ext xmlns:c16="http://schemas.microsoft.com/office/drawing/2014/chart" uri="{C3380CC4-5D6E-409C-BE32-E72D297353CC}">
              <c16:uniqueId val="{00000001-18C0-4AE9-9931-44333D96942C}"/>
            </c:ext>
          </c:extLst>
        </c:ser>
        <c:ser>
          <c:idx val="2"/>
          <c:order val="2"/>
          <c:tx>
            <c:strRef>
              <c:f>All_Task_5_Analysis!$H$2</c:f>
              <c:strCache>
                <c:ptCount val="1"/>
                <c:pt idx="0">
                  <c:v>Sum of Clicks</c:v>
                </c:pt>
              </c:strCache>
            </c:strRef>
          </c:tx>
          <c:spPr>
            <a:gradFill rotWithShape="1">
              <a:gsLst>
                <a:gs pos="0">
                  <a:schemeClr val="accent3">
                    <a:tint val="60000"/>
                    <a:satMod val="160000"/>
                  </a:schemeClr>
                </a:gs>
                <a:gs pos="46000">
                  <a:schemeClr val="accent3">
                    <a:tint val="86000"/>
                    <a:satMod val="160000"/>
                  </a:schemeClr>
                </a:gs>
                <a:gs pos="100000">
                  <a:schemeClr val="accent3">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cat>
            <c:strRef>
              <c:f>All_Task_5_Analysis!$A$3:$A$6</c:f>
              <c:strCache>
                <c:ptCount val="4"/>
                <c:pt idx="0">
                  <c:v>ChillVibes</c:v>
                </c:pt>
                <c:pt idx="1">
                  <c:v>IndieWave</c:v>
                </c:pt>
                <c:pt idx="2">
                  <c:v>SummerBeats</c:v>
                </c:pt>
                <c:pt idx="3">
                  <c:v>Wrapped2024</c:v>
                </c:pt>
              </c:strCache>
            </c:strRef>
          </c:cat>
          <c:val>
            <c:numRef>
              <c:f>All_Task_5_Analysis!$H$3:$H$6</c:f>
              <c:numCache>
                <c:formatCode>0.00</c:formatCode>
                <c:ptCount val="4"/>
                <c:pt idx="0">
                  <c:v>2232</c:v>
                </c:pt>
                <c:pt idx="1">
                  <c:v>1370</c:v>
                </c:pt>
                <c:pt idx="2">
                  <c:v>300</c:v>
                </c:pt>
                <c:pt idx="3">
                  <c:v>253</c:v>
                </c:pt>
              </c:numCache>
            </c:numRef>
          </c:val>
          <c:extLst>
            <c:ext xmlns:c16="http://schemas.microsoft.com/office/drawing/2014/chart" uri="{C3380CC4-5D6E-409C-BE32-E72D297353CC}">
              <c16:uniqueId val="{00000002-18C0-4AE9-9931-44333D96942C}"/>
            </c:ext>
          </c:extLst>
        </c:ser>
        <c:dLbls>
          <c:showLegendKey val="0"/>
          <c:showVal val="0"/>
          <c:showCatName val="0"/>
          <c:showSerName val="0"/>
          <c:showPercent val="0"/>
          <c:showBubbleSize val="0"/>
        </c:dLbls>
        <c:gapWidth val="100"/>
        <c:overlap val="-24"/>
        <c:axId val="1191589392"/>
        <c:axId val="1191599952"/>
      </c:barChart>
      <c:catAx>
        <c:axId val="11915893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Campaign_Name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1599952"/>
        <c:crosses val="autoZero"/>
        <c:auto val="1"/>
        <c:lblAlgn val="ctr"/>
        <c:lblOffset val="100"/>
        <c:noMultiLvlLbl val="0"/>
      </c:catAx>
      <c:valAx>
        <c:axId val="119159995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Total</a:t>
                </a:r>
              </a:p>
            </c:rich>
          </c:tx>
          <c:layout>
            <c:manualLayout>
              <c:xMode val="edge"/>
              <c:yMode val="edge"/>
              <c:x val="2.8558187665111603E-2"/>
              <c:y val="0.36921128388976604"/>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1589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t>Average Engagement per Campaign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All_Task_5_Analysis!$E$2</c:f>
              <c:strCache>
                <c:ptCount val="1"/>
                <c:pt idx="0">
                  <c:v>Avg of Impressions</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cat>
            <c:strRef>
              <c:f>All_Task_5_Analysis!$A$3:$A$6</c:f>
              <c:strCache>
                <c:ptCount val="4"/>
                <c:pt idx="0">
                  <c:v>ChillVibes</c:v>
                </c:pt>
                <c:pt idx="1">
                  <c:v>IndieWave</c:v>
                </c:pt>
                <c:pt idx="2">
                  <c:v>SummerBeats</c:v>
                </c:pt>
                <c:pt idx="3">
                  <c:v>Wrapped2024</c:v>
                </c:pt>
              </c:strCache>
            </c:strRef>
          </c:cat>
          <c:val>
            <c:numRef>
              <c:f>All_Task_5_Analysis!$E$3:$E$6</c:f>
              <c:numCache>
                <c:formatCode>0.00</c:formatCode>
                <c:ptCount val="4"/>
                <c:pt idx="0">
                  <c:v>34414.454545454544</c:v>
                </c:pt>
                <c:pt idx="1">
                  <c:v>43824</c:v>
                </c:pt>
                <c:pt idx="2">
                  <c:v>44402.5</c:v>
                </c:pt>
                <c:pt idx="3">
                  <c:v>51758.5</c:v>
                </c:pt>
              </c:numCache>
            </c:numRef>
          </c:val>
          <c:extLst>
            <c:ext xmlns:c16="http://schemas.microsoft.com/office/drawing/2014/chart" uri="{C3380CC4-5D6E-409C-BE32-E72D297353CC}">
              <c16:uniqueId val="{00000000-00D2-431E-A8F4-14E305353B4F}"/>
            </c:ext>
          </c:extLst>
        </c:ser>
        <c:ser>
          <c:idx val="1"/>
          <c:order val="1"/>
          <c:tx>
            <c:strRef>
              <c:f>All_Task_5_Analysis!$G$2</c:f>
              <c:strCache>
                <c:ptCount val="1"/>
                <c:pt idx="0">
                  <c:v>Avg of Likes</c:v>
                </c:pt>
              </c:strCache>
            </c:strRef>
          </c:tx>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cat>
            <c:strRef>
              <c:f>All_Task_5_Analysis!$A$3:$A$6</c:f>
              <c:strCache>
                <c:ptCount val="4"/>
                <c:pt idx="0">
                  <c:v>ChillVibes</c:v>
                </c:pt>
                <c:pt idx="1">
                  <c:v>IndieWave</c:v>
                </c:pt>
                <c:pt idx="2">
                  <c:v>SummerBeats</c:v>
                </c:pt>
                <c:pt idx="3">
                  <c:v>Wrapped2024</c:v>
                </c:pt>
              </c:strCache>
            </c:strRef>
          </c:cat>
          <c:val>
            <c:numRef>
              <c:f>All_Task_5_Analysis!$G$3:$G$6</c:f>
              <c:numCache>
                <c:formatCode>0.00</c:formatCode>
                <c:ptCount val="4"/>
                <c:pt idx="0">
                  <c:v>3180</c:v>
                </c:pt>
                <c:pt idx="1">
                  <c:v>3948.6666666666665</c:v>
                </c:pt>
                <c:pt idx="2">
                  <c:v>3186</c:v>
                </c:pt>
                <c:pt idx="3">
                  <c:v>4187.5</c:v>
                </c:pt>
              </c:numCache>
            </c:numRef>
          </c:val>
          <c:extLst>
            <c:ext xmlns:c16="http://schemas.microsoft.com/office/drawing/2014/chart" uri="{C3380CC4-5D6E-409C-BE32-E72D297353CC}">
              <c16:uniqueId val="{00000001-00D2-431E-A8F4-14E305353B4F}"/>
            </c:ext>
          </c:extLst>
        </c:ser>
        <c:ser>
          <c:idx val="2"/>
          <c:order val="2"/>
          <c:tx>
            <c:strRef>
              <c:f>All_Task_5_Analysis!$I$2</c:f>
              <c:strCache>
                <c:ptCount val="1"/>
                <c:pt idx="0">
                  <c:v>Avg of Clicks</c:v>
                </c:pt>
              </c:strCache>
            </c:strRef>
          </c:tx>
          <c:spPr>
            <a:gradFill rotWithShape="1">
              <a:gsLst>
                <a:gs pos="0">
                  <a:schemeClr val="accent3">
                    <a:tint val="60000"/>
                    <a:satMod val="160000"/>
                  </a:schemeClr>
                </a:gs>
                <a:gs pos="46000">
                  <a:schemeClr val="accent3">
                    <a:tint val="86000"/>
                    <a:satMod val="160000"/>
                  </a:schemeClr>
                </a:gs>
                <a:gs pos="100000">
                  <a:schemeClr val="accent3">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cat>
            <c:strRef>
              <c:f>All_Task_5_Analysis!$A$3:$A$6</c:f>
              <c:strCache>
                <c:ptCount val="4"/>
                <c:pt idx="0">
                  <c:v>ChillVibes</c:v>
                </c:pt>
                <c:pt idx="1">
                  <c:v>IndieWave</c:v>
                </c:pt>
                <c:pt idx="2">
                  <c:v>SummerBeats</c:v>
                </c:pt>
                <c:pt idx="3">
                  <c:v>Wrapped2024</c:v>
                </c:pt>
              </c:strCache>
            </c:strRef>
          </c:cat>
          <c:val>
            <c:numRef>
              <c:f>All_Task_5_Analysis!$I$3:$I$6</c:f>
              <c:numCache>
                <c:formatCode>0.00</c:formatCode>
                <c:ptCount val="4"/>
                <c:pt idx="0">
                  <c:v>202.90909090909091</c:v>
                </c:pt>
                <c:pt idx="1">
                  <c:v>228.33333333333334</c:v>
                </c:pt>
                <c:pt idx="2">
                  <c:v>150</c:v>
                </c:pt>
                <c:pt idx="3">
                  <c:v>126.5</c:v>
                </c:pt>
              </c:numCache>
            </c:numRef>
          </c:val>
          <c:extLst>
            <c:ext xmlns:c16="http://schemas.microsoft.com/office/drawing/2014/chart" uri="{C3380CC4-5D6E-409C-BE32-E72D297353CC}">
              <c16:uniqueId val="{00000002-00D2-431E-A8F4-14E305353B4F}"/>
            </c:ext>
          </c:extLst>
        </c:ser>
        <c:dLbls>
          <c:showLegendKey val="0"/>
          <c:showVal val="0"/>
          <c:showCatName val="0"/>
          <c:showSerName val="0"/>
          <c:showPercent val="0"/>
          <c:showBubbleSize val="0"/>
        </c:dLbls>
        <c:gapWidth val="100"/>
        <c:overlap val="-24"/>
        <c:axId val="901717984"/>
        <c:axId val="901714624"/>
      </c:barChart>
      <c:catAx>
        <c:axId val="9017179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Campaign_Name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01714624"/>
        <c:crosses val="autoZero"/>
        <c:auto val="1"/>
        <c:lblAlgn val="ctr"/>
        <c:lblOffset val="100"/>
        <c:noMultiLvlLbl val="0"/>
      </c:catAx>
      <c:valAx>
        <c:axId val="90171462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Average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01717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[Social_Media_Internship_Assignment_Solution_Harsh_Srivastav.xlsx]All_Task_6_Analysis!PivotTable14</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Weekly Net Follower Growth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All_Task_6_Analysis!$B$3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All_Task_6_Analysis!$A$4:$A$71</c:f>
              <c:strCache>
                <c:ptCount val="67"/>
                <c:pt idx="0">
                  <c:v>4/11/2024</c:v>
                </c:pt>
                <c:pt idx="1">
                  <c:v>19/5/2025</c:v>
                </c:pt>
                <c:pt idx="2">
                  <c:v>3/6/2024</c:v>
                </c:pt>
                <c:pt idx="3">
                  <c:v>7/4/2025</c:v>
                </c:pt>
                <c:pt idx="4">
                  <c:v>28/7/2025</c:v>
                </c:pt>
                <c:pt idx="5">
                  <c:v>14/4/2025</c:v>
                </c:pt>
                <c:pt idx="6">
                  <c:v>17/6/2024</c:v>
                </c:pt>
                <c:pt idx="7">
                  <c:v>8/7/2024</c:v>
                </c:pt>
                <c:pt idx="8">
                  <c:v>30/9/2024</c:v>
                </c:pt>
                <c:pt idx="9">
                  <c:v>12/8/2024</c:v>
                </c:pt>
                <c:pt idx="10">
                  <c:v>26/5/2025</c:v>
                </c:pt>
                <c:pt idx="11">
                  <c:v>11/11/2024</c:v>
                </c:pt>
                <c:pt idx="12">
                  <c:v>21/10/2024</c:v>
                </c:pt>
                <c:pt idx="13">
                  <c:v>23/9/2024</c:v>
                </c:pt>
                <c:pt idx="14">
                  <c:v>31/3/2025</c:v>
                </c:pt>
                <c:pt idx="15">
                  <c:v>10/6/2024</c:v>
                </c:pt>
                <c:pt idx="16">
                  <c:v>3/3/2025</c:v>
                </c:pt>
                <c:pt idx="17">
                  <c:v>21/7/2025</c:v>
                </c:pt>
                <c:pt idx="18">
                  <c:v>5/8/2024</c:v>
                </c:pt>
                <c:pt idx="19">
                  <c:v>16/12/2024</c:v>
                </c:pt>
                <c:pt idx="20">
                  <c:v>24/3/2025</c:v>
                </c:pt>
                <c:pt idx="21">
                  <c:v>14/10/2024</c:v>
                </c:pt>
                <c:pt idx="22">
                  <c:v>7/7/2025</c:v>
                </c:pt>
                <c:pt idx="23">
                  <c:v>14/7/2025</c:v>
                </c:pt>
                <c:pt idx="24">
                  <c:v>25/8/2025</c:v>
                </c:pt>
                <c:pt idx="25">
                  <c:v>9/9/2024</c:v>
                </c:pt>
                <c:pt idx="26">
                  <c:v>23/12/2024</c:v>
                </c:pt>
                <c:pt idx="27">
                  <c:v>2/9/2024</c:v>
                </c:pt>
                <c:pt idx="28">
                  <c:v>6/1/2025</c:v>
                </c:pt>
                <c:pt idx="29">
                  <c:v>26/8/2024</c:v>
                </c:pt>
                <c:pt idx="30">
                  <c:v>24/6/2024</c:v>
                </c:pt>
                <c:pt idx="31">
                  <c:v>1/7/2024</c:v>
                </c:pt>
                <c:pt idx="32">
                  <c:v>2/12/2024</c:v>
                </c:pt>
                <c:pt idx="33">
                  <c:v>28/4/2025</c:v>
                </c:pt>
                <c:pt idx="34">
                  <c:v>15/7/2024</c:v>
                </c:pt>
                <c:pt idx="35">
                  <c:v>10/2/2025</c:v>
                </c:pt>
                <c:pt idx="36">
                  <c:v>11/8/2025</c:v>
                </c:pt>
                <c:pt idx="37">
                  <c:v>13/1/2025</c:v>
                </c:pt>
                <c:pt idx="38">
                  <c:v>7/10/2024</c:v>
                </c:pt>
                <c:pt idx="39">
                  <c:v>30/12/2024</c:v>
                </c:pt>
                <c:pt idx="40">
                  <c:v>10/3/2025</c:v>
                </c:pt>
                <c:pt idx="41">
                  <c:v>30/6/2025</c:v>
                </c:pt>
                <c:pt idx="42">
                  <c:v>19/8/2024</c:v>
                </c:pt>
                <c:pt idx="43">
                  <c:v>25/11/2024</c:v>
                </c:pt>
                <c:pt idx="44">
                  <c:v>22/7/2024</c:v>
                </c:pt>
                <c:pt idx="45">
                  <c:v>9/6/2025</c:v>
                </c:pt>
                <c:pt idx="46">
                  <c:v>17/3/2025</c:v>
                </c:pt>
                <c:pt idx="47">
                  <c:v>28/10/2024</c:v>
                </c:pt>
                <c:pt idx="48">
                  <c:v>16/9/2024</c:v>
                </c:pt>
                <c:pt idx="49">
                  <c:v>29/7/2024</c:v>
                </c:pt>
                <c:pt idx="50">
                  <c:v>5/5/2025</c:v>
                </c:pt>
                <c:pt idx="51">
                  <c:v>2/6/2025</c:v>
                </c:pt>
                <c:pt idx="52">
                  <c:v>16/6/2025</c:v>
                </c:pt>
                <c:pt idx="53">
                  <c:v>18/11/2024</c:v>
                </c:pt>
                <c:pt idx="54">
                  <c:v>27/1/2025</c:v>
                </c:pt>
                <c:pt idx="55">
                  <c:v>20/1/2025</c:v>
                </c:pt>
                <c:pt idx="56">
                  <c:v>18/8/2025</c:v>
                </c:pt>
                <c:pt idx="57">
                  <c:v>21/4/2025</c:v>
                </c:pt>
                <c:pt idx="58">
                  <c:v>24/2/2025</c:v>
                </c:pt>
                <c:pt idx="59">
                  <c:v>4/8/2025</c:v>
                </c:pt>
                <c:pt idx="60">
                  <c:v>3/2/2025</c:v>
                </c:pt>
                <c:pt idx="61">
                  <c:v>17/2/2025</c:v>
                </c:pt>
                <c:pt idx="62">
                  <c:v>8/9/2025</c:v>
                </c:pt>
                <c:pt idx="63">
                  <c:v>1/9/2025</c:v>
                </c:pt>
                <c:pt idx="64">
                  <c:v>12/5/2025</c:v>
                </c:pt>
                <c:pt idx="65">
                  <c:v>9/12/2024</c:v>
                </c:pt>
                <c:pt idx="66">
                  <c:v>23/6/2025</c:v>
                </c:pt>
              </c:strCache>
            </c:strRef>
          </c:cat>
          <c:val>
            <c:numRef>
              <c:f>All_Task_6_Analysis!$B$4:$B$71</c:f>
              <c:numCache>
                <c:formatCode>0</c:formatCode>
                <c:ptCount val="67"/>
                <c:pt idx="0">
                  <c:v>3576</c:v>
                </c:pt>
                <c:pt idx="1">
                  <c:v>3569</c:v>
                </c:pt>
                <c:pt idx="2">
                  <c:v>3419</c:v>
                </c:pt>
                <c:pt idx="3">
                  <c:v>3291</c:v>
                </c:pt>
                <c:pt idx="4">
                  <c:v>3236</c:v>
                </c:pt>
                <c:pt idx="5">
                  <c:v>3216</c:v>
                </c:pt>
                <c:pt idx="6">
                  <c:v>3175</c:v>
                </c:pt>
                <c:pt idx="7">
                  <c:v>3155</c:v>
                </c:pt>
                <c:pt idx="8">
                  <c:v>3151</c:v>
                </c:pt>
                <c:pt idx="9">
                  <c:v>3072</c:v>
                </c:pt>
                <c:pt idx="10">
                  <c:v>2909</c:v>
                </c:pt>
                <c:pt idx="11">
                  <c:v>2794</c:v>
                </c:pt>
                <c:pt idx="12">
                  <c:v>2792</c:v>
                </c:pt>
                <c:pt idx="13">
                  <c:v>2785</c:v>
                </c:pt>
                <c:pt idx="14">
                  <c:v>2781</c:v>
                </c:pt>
                <c:pt idx="15">
                  <c:v>2777</c:v>
                </c:pt>
                <c:pt idx="16">
                  <c:v>2763</c:v>
                </c:pt>
                <c:pt idx="17">
                  <c:v>2694</c:v>
                </c:pt>
                <c:pt idx="18">
                  <c:v>2693</c:v>
                </c:pt>
                <c:pt idx="19">
                  <c:v>2693</c:v>
                </c:pt>
                <c:pt idx="20">
                  <c:v>2679</c:v>
                </c:pt>
                <c:pt idx="21">
                  <c:v>2670</c:v>
                </c:pt>
                <c:pt idx="22">
                  <c:v>2669</c:v>
                </c:pt>
                <c:pt idx="23">
                  <c:v>2654</c:v>
                </c:pt>
                <c:pt idx="24">
                  <c:v>2646</c:v>
                </c:pt>
                <c:pt idx="25">
                  <c:v>2630</c:v>
                </c:pt>
                <c:pt idx="26">
                  <c:v>2550</c:v>
                </c:pt>
                <c:pt idx="27">
                  <c:v>2502</c:v>
                </c:pt>
                <c:pt idx="28">
                  <c:v>2451</c:v>
                </c:pt>
                <c:pt idx="29">
                  <c:v>2450</c:v>
                </c:pt>
                <c:pt idx="30">
                  <c:v>2433</c:v>
                </c:pt>
                <c:pt idx="31">
                  <c:v>2426</c:v>
                </c:pt>
                <c:pt idx="32">
                  <c:v>2383</c:v>
                </c:pt>
                <c:pt idx="33">
                  <c:v>2378</c:v>
                </c:pt>
                <c:pt idx="34">
                  <c:v>2369</c:v>
                </c:pt>
                <c:pt idx="35">
                  <c:v>2361</c:v>
                </c:pt>
                <c:pt idx="36">
                  <c:v>2347</c:v>
                </c:pt>
                <c:pt idx="37">
                  <c:v>2341</c:v>
                </c:pt>
                <c:pt idx="38">
                  <c:v>2338</c:v>
                </c:pt>
                <c:pt idx="39">
                  <c:v>2337</c:v>
                </c:pt>
                <c:pt idx="40">
                  <c:v>2315</c:v>
                </c:pt>
                <c:pt idx="41">
                  <c:v>2315</c:v>
                </c:pt>
                <c:pt idx="42">
                  <c:v>2300</c:v>
                </c:pt>
                <c:pt idx="43">
                  <c:v>2287</c:v>
                </c:pt>
                <c:pt idx="44">
                  <c:v>2281</c:v>
                </c:pt>
                <c:pt idx="45">
                  <c:v>2243</c:v>
                </c:pt>
                <c:pt idx="46">
                  <c:v>2188</c:v>
                </c:pt>
                <c:pt idx="47">
                  <c:v>2181</c:v>
                </c:pt>
                <c:pt idx="48">
                  <c:v>2162</c:v>
                </c:pt>
                <c:pt idx="49">
                  <c:v>2132</c:v>
                </c:pt>
                <c:pt idx="50">
                  <c:v>2054</c:v>
                </c:pt>
                <c:pt idx="51">
                  <c:v>2049</c:v>
                </c:pt>
                <c:pt idx="52">
                  <c:v>2017</c:v>
                </c:pt>
                <c:pt idx="53">
                  <c:v>1935</c:v>
                </c:pt>
                <c:pt idx="54">
                  <c:v>1928</c:v>
                </c:pt>
                <c:pt idx="55">
                  <c:v>1832</c:v>
                </c:pt>
                <c:pt idx="56">
                  <c:v>1819</c:v>
                </c:pt>
                <c:pt idx="57">
                  <c:v>1728</c:v>
                </c:pt>
                <c:pt idx="58">
                  <c:v>1713</c:v>
                </c:pt>
                <c:pt idx="59">
                  <c:v>1689</c:v>
                </c:pt>
                <c:pt idx="60">
                  <c:v>1680</c:v>
                </c:pt>
                <c:pt idx="61">
                  <c:v>1543</c:v>
                </c:pt>
                <c:pt idx="62">
                  <c:v>1436</c:v>
                </c:pt>
                <c:pt idx="63">
                  <c:v>1424</c:v>
                </c:pt>
                <c:pt idx="64">
                  <c:v>1400</c:v>
                </c:pt>
                <c:pt idx="65">
                  <c:v>1398</c:v>
                </c:pt>
                <c:pt idx="66">
                  <c:v>1384</c:v>
                </c:pt>
              </c:numCache>
            </c:numRef>
          </c:val>
          <c:smooth val="0"/>
          <c:extLst>
            <c:ext xmlns:c16="http://schemas.microsoft.com/office/drawing/2014/chart" uri="{C3380CC4-5D6E-409C-BE32-E72D297353CC}">
              <c16:uniqueId val="{00000000-4D06-4426-91DD-1216B8BBBF0F}"/>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2462288"/>
        <c:axId val="132462768"/>
      </c:lineChart>
      <c:catAx>
        <c:axId val="13246228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Week_Start_Date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32462768"/>
        <c:crosses val="autoZero"/>
        <c:auto val="1"/>
        <c:lblAlgn val="ctr"/>
        <c:lblOffset val="100"/>
        <c:noMultiLvlLbl val="0"/>
      </c:catAx>
      <c:valAx>
        <c:axId val="13246276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Sum of Net Follower Gain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246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Weekly Follower Growth with 3-Week Moving Average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All_Task_6_Analysis!$B$79</c:f>
              <c:strCache>
                <c:ptCount val="1"/>
                <c:pt idx="0">
                  <c:v>Sum of Net Follower Gain</c:v>
                </c:pt>
              </c:strCache>
            </c:strRef>
          </c:tx>
          <c:spPr>
            <a:ln w="34925" cap="rnd">
              <a:solidFill>
                <a:schemeClr val="accent1"/>
              </a:solidFill>
              <a:round/>
            </a:ln>
            <a:effectLst>
              <a:outerShdw blurRad="53975" dist="41275" dir="14700000" algn="t" rotWithShape="0">
                <a:srgbClr val="000000">
                  <a:alpha val="60000"/>
                </a:srgbClr>
              </a:outerShdw>
            </a:effectLst>
          </c:spPr>
          <c:marker>
            <c:symbol val="none"/>
          </c:marker>
          <c:cat>
            <c:numRef>
              <c:f>All_Task_6_Analysis!$A$80:$A$146</c:f>
              <c:numCache>
                <c:formatCode>[$-1010000]d/m/yyyy;@</c:formatCode>
                <c:ptCount val="67"/>
                <c:pt idx="0">
                  <c:v>45446</c:v>
                </c:pt>
                <c:pt idx="1">
                  <c:v>45453</c:v>
                </c:pt>
                <c:pt idx="2">
                  <c:v>45460</c:v>
                </c:pt>
                <c:pt idx="3">
                  <c:v>45467</c:v>
                </c:pt>
                <c:pt idx="4">
                  <c:v>45474</c:v>
                </c:pt>
                <c:pt idx="5">
                  <c:v>45481</c:v>
                </c:pt>
                <c:pt idx="6">
                  <c:v>45488</c:v>
                </c:pt>
                <c:pt idx="7">
                  <c:v>45495</c:v>
                </c:pt>
                <c:pt idx="8">
                  <c:v>45502</c:v>
                </c:pt>
                <c:pt idx="9">
                  <c:v>45509</c:v>
                </c:pt>
                <c:pt idx="10">
                  <c:v>45516</c:v>
                </c:pt>
                <c:pt idx="11">
                  <c:v>45523</c:v>
                </c:pt>
                <c:pt idx="12">
                  <c:v>45530</c:v>
                </c:pt>
                <c:pt idx="13">
                  <c:v>45537</c:v>
                </c:pt>
                <c:pt idx="14">
                  <c:v>45544</c:v>
                </c:pt>
                <c:pt idx="15">
                  <c:v>45551</c:v>
                </c:pt>
                <c:pt idx="16">
                  <c:v>45558</c:v>
                </c:pt>
                <c:pt idx="17">
                  <c:v>45565</c:v>
                </c:pt>
                <c:pt idx="18">
                  <c:v>45572</c:v>
                </c:pt>
                <c:pt idx="19">
                  <c:v>45579</c:v>
                </c:pt>
                <c:pt idx="20">
                  <c:v>45586</c:v>
                </c:pt>
                <c:pt idx="21">
                  <c:v>45593</c:v>
                </c:pt>
                <c:pt idx="22">
                  <c:v>45600</c:v>
                </c:pt>
                <c:pt idx="23">
                  <c:v>45607</c:v>
                </c:pt>
                <c:pt idx="24">
                  <c:v>45614</c:v>
                </c:pt>
                <c:pt idx="25">
                  <c:v>45621</c:v>
                </c:pt>
                <c:pt idx="26">
                  <c:v>45628</c:v>
                </c:pt>
                <c:pt idx="27">
                  <c:v>45635</c:v>
                </c:pt>
                <c:pt idx="28">
                  <c:v>45642</c:v>
                </c:pt>
                <c:pt idx="29">
                  <c:v>45649</c:v>
                </c:pt>
                <c:pt idx="30">
                  <c:v>45656</c:v>
                </c:pt>
                <c:pt idx="31">
                  <c:v>45663</c:v>
                </c:pt>
                <c:pt idx="32">
                  <c:v>45670</c:v>
                </c:pt>
                <c:pt idx="33">
                  <c:v>45677</c:v>
                </c:pt>
                <c:pt idx="34">
                  <c:v>45684</c:v>
                </c:pt>
                <c:pt idx="35">
                  <c:v>45691</c:v>
                </c:pt>
                <c:pt idx="36">
                  <c:v>45698</c:v>
                </c:pt>
                <c:pt idx="37">
                  <c:v>45705</c:v>
                </c:pt>
                <c:pt idx="38">
                  <c:v>45712</c:v>
                </c:pt>
                <c:pt idx="39">
                  <c:v>45719</c:v>
                </c:pt>
                <c:pt idx="40">
                  <c:v>45726</c:v>
                </c:pt>
                <c:pt idx="41">
                  <c:v>45733</c:v>
                </c:pt>
                <c:pt idx="42">
                  <c:v>45740</c:v>
                </c:pt>
                <c:pt idx="43">
                  <c:v>45747</c:v>
                </c:pt>
                <c:pt idx="44">
                  <c:v>45754</c:v>
                </c:pt>
                <c:pt idx="45">
                  <c:v>45761</c:v>
                </c:pt>
                <c:pt idx="46">
                  <c:v>45768</c:v>
                </c:pt>
                <c:pt idx="47">
                  <c:v>45775</c:v>
                </c:pt>
                <c:pt idx="48">
                  <c:v>45782</c:v>
                </c:pt>
                <c:pt idx="49">
                  <c:v>45789</c:v>
                </c:pt>
                <c:pt idx="50">
                  <c:v>45796</c:v>
                </c:pt>
                <c:pt idx="51">
                  <c:v>45803</c:v>
                </c:pt>
                <c:pt idx="52">
                  <c:v>45810</c:v>
                </c:pt>
                <c:pt idx="53">
                  <c:v>45817</c:v>
                </c:pt>
                <c:pt idx="54">
                  <c:v>45824</c:v>
                </c:pt>
                <c:pt idx="55">
                  <c:v>45831</c:v>
                </c:pt>
                <c:pt idx="56">
                  <c:v>45838</c:v>
                </c:pt>
                <c:pt idx="57">
                  <c:v>45845</c:v>
                </c:pt>
                <c:pt idx="58">
                  <c:v>45852</c:v>
                </c:pt>
                <c:pt idx="59">
                  <c:v>45859</c:v>
                </c:pt>
                <c:pt idx="60">
                  <c:v>45866</c:v>
                </c:pt>
                <c:pt idx="61">
                  <c:v>45873</c:v>
                </c:pt>
                <c:pt idx="62">
                  <c:v>45880</c:v>
                </c:pt>
                <c:pt idx="63">
                  <c:v>45887</c:v>
                </c:pt>
                <c:pt idx="64">
                  <c:v>45894</c:v>
                </c:pt>
                <c:pt idx="65">
                  <c:v>45901</c:v>
                </c:pt>
                <c:pt idx="66">
                  <c:v>45908</c:v>
                </c:pt>
              </c:numCache>
            </c:numRef>
          </c:cat>
          <c:val>
            <c:numRef>
              <c:f>All_Task_6_Analysis!$B$80:$B$146</c:f>
              <c:numCache>
                <c:formatCode>0</c:formatCode>
                <c:ptCount val="67"/>
                <c:pt idx="0">
                  <c:v>3419</c:v>
                </c:pt>
                <c:pt idx="1">
                  <c:v>2777</c:v>
                </c:pt>
                <c:pt idx="2">
                  <c:v>3175</c:v>
                </c:pt>
                <c:pt idx="3">
                  <c:v>2433</c:v>
                </c:pt>
                <c:pt idx="4">
                  <c:v>2426</c:v>
                </c:pt>
                <c:pt idx="5">
                  <c:v>3155</c:v>
                </c:pt>
                <c:pt idx="6">
                  <c:v>2369</c:v>
                </c:pt>
                <c:pt idx="7">
                  <c:v>2281</c:v>
                </c:pt>
                <c:pt idx="8">
                  <c:v>2132</c:v>
                </c:pt>
                <c:pt idx="9">
                  <c:v>2693</c:v>
                </c:pt>
                <c:pt idx="10">
                  <c:v>3072</c:v>
                </c:pt>
                <c:pt idx="11">
                  <c:v>2300</c:v>
                </c:pt>
                <c:pt idx="12">
                  <c:v>2450</c:v>
                </c:pt>
                <c:pt idx="13">
                  <c:v>2502</c:v>
                </c:pt>
                <c:pt idx="14">
                  <c:v>2630</c:v>
                </c:pt>
                <c:pt idx="15">
                  <c:v>2162</c:v>
                </c:pt>
                <c:pt idx="16">
                  <c:v>2785</c:v>
                </c:pt>
                <c:pt idx="17">
                  <c:v>3151</c:v>
                </c:pt>
                <c:pt idx="18">
                  <c:v>2338</c:v>
                </c:pt>
                <c:pt idx="19">
                  <c:v>2670</c:v>
                </c:pt>
                <c:pt idx="20">
                  <c:v>2792</c:v>
                </c:pt>
                <c:pt idx="21">
                  <c:v>2181</c:v>
                </c:pt>
                <c:pt idx="22">
                  <c:v>3576</c:v>
                </c:pt>
                <c:pt idx="23">
                  <c:v>2794</c:v>
                </c:pt>
                <c:pt idx="24">
                  <c:v>1935</c:v>
                </c:pt>
                <c:pt idx="25">
                  <c:v>2287</c:v>
                </c:pt>
                <c:pt idx="26">
                  <c:v>2383</c:v>
                </c:pt>
                <c:pt idx="27">
                  <c:v>1398</c:v>
                </c:pt>
                <c:pt idx="28">
                  <c:v>2693</c:v>
                </c:pt>
                <c:pt idx="29">
                  <c:v>2550</c:v>
                </c:pt>
                <c:pt idx="30">
                  <c:v>2337</c:v>
                </c:pt>
                <c:pt idx="31">
                  <c:v>2451</c:v>
                </c:pt>
                <c:pt idx="32">
                  <c:v>2341</c:v>
                </c:pt>
                <c:pt idx="33">
                  <c:v>1832</c:v>
                </c:pt>
                <c:pt idx="34">
                  <c:v>1928</c:v>
                </c:pt>
                <c:pt idx="35">
                  <c:v>1680</c:v>
                </c:pt>
                <c:pt idx="36">
                  <c:v>2361</c:v>
                </c:pt>
                <c:pt idx="37">
                  <c:v>1543</c:v>
                </c:pt>
                <c:pt idx="38">
                  <c:v>1713</c:v>
                </c:pt>
                <c:pt idx="39">
                  <c:v>2763</c:v>
                </c:pt>
                <c:pt idx="40">
                  <c:v>2315</c:v>
                </c:pt>
                <c:pt idx="41">
                  <c:v>2188</c:v>
                </c:pt>
                <c:pt idx="42">
                  <c:v>2679</c:v>
                </c:pt>
                <c:pt idx="43">
                  <c:v>2781</c:v>
                </c:pt>
                <c:pt idx="44">
                  <c:v>3291</c:v>
                </c:pt>
                <c:pt idx="45">
                  <c:v>3216</c:v>
                </c:pt>
                <c:pt idx="46">
                  <c:v>1728</c:v>
                </c:pt>
                <c:pt idx="47">
                  <c:v>2378</c:v>
                </c:pt>
                <c:pt idx="48">
                  <c:v>2054</c:v>
                </c:pt>
                <c:pt idx="49">
                  <c:v>1400</c:v>
                </c:pt>
                <c:pt idx="50">
                  <c:v>3569</c:v>
                </c:pt>
                <c:pt idx="51">
                  <c:v>2909</c:v>
                </c:pt>
                <c:pt idx="52">
                  <c:v>2049</c:v>
                </c:pt>
                <c:pt idx="53">
                  <c:v>2243</c:v>
                </c:pt>
                <c:pt idx="54">
                  <c:v>2017</c:v>
                </c:pt>
                <c:pt idx="55">
                  <c:v>1384</c:v>
                </c:pt>
                <c:pt idx="56">
                  <c:v>2315</c:v>
                </c:pt>
                <c:pt idx="57">
                  <c:v>2669</c:v>
                </c:pt>
                <c:pt idx="58">
                  <c:v>2654</c:v>
                </c:pt>
                <c:pt idx="59">
                  <c:v>2694</c:v>
                </c:pt>
                <c:pt idx="60">
                  <c:v>3236</c:v>
                </c:pt>
                <c:pt idx="61">
                  <c:v>1689</c:v>
                </c:pt>
                <c:pt idx="62">
                  <c:v>2347</c:v>
                </c:pt>
                <c:pt idx="63">
                  <c:v>1819</c:v>
                </c:pt>
                <c:pt idx="64">
                  <c:v>2646</c:v>
                </c:pt>
                <c:pt idx="65">
                  <c:v>1424</c:v>
                </c:pt>
                <c:pt idx="66">
                  <c:v>1436</c:v>
                </c:pt>
              </c:numCache>
            </c:numRef>
          </c:val>
          <c:smooth val="0"/>
          <c:extLst>
            <c:ext xmlns:c16="http://schemas.microsoft.com/office/drawing/2014/chart" uri="{C3380CC4-5D6E-409C-BE32-E72D297353CC}">
              <c16:uniqueId val="{00000000-2C67-4F8A-800E-17BC2FFAF3A3}"/>
            </c:ext>
          </c:extLst>
        </c:ser>
        <c:ser>
          <c:idx val="1"/>
          <c:order val="1"/>
          <c:tx>
            <c:strRef>
              <c:f>All_Task_6_Analysis!$C$79</c:f>
              <c:strCache>
                <c:ptCount val="1"/>
                <c:pt idx="0">
                  <c:v>3-Week Moving Average</c:v>
                </c:pt>
              </c:strCache>
            </c:strRef>
          </c:tx>
          <c:spPr>
            <a:ln w="34925" cap="rnd">
              <a:solidFill>
                <a:schemeClr val="accent2"/>
              </a:solidFill>
              <a:round/>
            </a:ln>
            <a:effectLst>
              <a:outerShdw blurRad="53975" dist="41275" dir="14700000" algn="t" rotWithShape="0">
                <a:srgbClr val="000000">
                  <a:alpha val="60000"/>
                </a:srgbClr>
              </a:outerShdw>
            </a:effectLst>
          </c:spPr>
          <c:marker>
            <c:symbol val="none"/>
          </c:marker>
          <c:cat>
            <c:numRef>
              <c:f>All_Task_6_Analysis!$A$80:$A$146</c:f>
              <c:numCache>
                <c:formatCode>[$-1010000]d/m/yyyy;@</c:formatCode>
                <c:ptCount val="67"/>
                <c:pt idx="0">
                  <c:v>45446</c:v>
                </c:pt>
                <c:pt idx="1">
                  <c:v>45453</c:v>
                </c:pt>
                <c:pt idx="2">
                  <c:v>45460</c:v>
                </c:pt>
                <c:pt idx="3">
                  <c:v>45467</c:v>
                </c:pt>
                <c:pt idx="4">
                  <c:v>45474</c:v>
                </c:pt>
                <c:pt idx="5">
                  <c:v>45481</c:v>
                </c:pt>
                <c:pt idx="6">
                  <c:v>45488</c:v>
                </c:pt>
                <c:pt idx="7">
                  <c:v>45495</c:v>
                </c:pt>
                <c:pt idx="8">
                  <c:v>45502</c:v>
                </c:pt>
                <c:pt idx="9">
                  <c:v>45509</c:v>
                </c:pt>
                <c:pt idx="10">
                  <c:v>45516</c:v>
                </c:pt>
                <c:pt idx="11">
                  <c:v>45523</c:v>
                </c:pt>
                <c:pt idx="12">
                  <c:v>45530</c:v>
                </c:pt>
                <c:pt idx="13">
                  <c:v>45537</c:v>
                </c:pt>
                <c:pt idx="14">
                  <c:v>45544</c:v>
                </c:pt>
                <c:pt idx="15">
                  <c:v>45551</c:v>
                </c:pt>
                <c:pt idx="16">
                  <c:v>45558</c:v>
                </c:pt>
                <c:pt idx="17">
                  <c:v>45565</c:v>
                </c:pt>
                <c:pt idx="18">
                  <c:v>45572</c:v>
                </c:pt>
                <c:pt idx="19">
                  <c:v>45579</c:v>
                </c:pt>
                <c:pt idx="20">
                  <c:v>45586</c:v>
                </c:pt>
                <c:pt idx="21">
                  <c:v>45593</c:v>
                </c:pt>
                <c:pt idx="22">
                  <c:v>45600</c:v>
                </c:pt>
                <c:pt idx="23">
                  <c:v>45607</c:v>
                </c:pt>
                <c:pt idx="24">
                  <c:v>45614</c:v>
                </c:pt>
                <c:pt idx="25">
                  <c:v>45621</c:v>
                </c:pt>
                <c:pt idx="26">
                  <c:v>45628</c:v>
                </c:pt>
                <c:pt idx="27">
                  <c:v>45635</c:v>
                </c:pt>
                <c:pt idx="28">
                  <c:v>45642</c:v>
                </c:pt>
                <c:pt idx="29">
                  <c:v>45649</c:v>
                </c:pt>
                <c:pt idx="30">
                  <c:v>45656</c:v>
                </c:pt>
                <c:pt idx="31">
                  <c:v>45663</c:v>
                </c:pt>
                <c:pt idx="32">
                  <c:v>45670</c:v>
                </c:pt>
                <c:pt idx="33">
                  <c:v>45677</c:v>
                </c:pt>
                <c:pt idx="34">
                  <c:v>45684</c:v>
                </c:pt>
                <c:pt idx="35">
                  <c:v>45691</c:v>
                </c:pt>
                <c:pt idx="36">
                  <c:v>45698</c:v>
                </c:pt>
                <c:pt idx="37">
                  <c:v>45705</c:v>
                </c:pt>
                <c:pt idx="38">
                  <c:v>45712</c:v>
                </c:pt>
                <c:pt idx="39">
                  <c:v>45719</c:v>
                </c:pt>
                <c:pt idx="40">
                  <c:v>45726</c:v>
                </c:pt>
                <c:pt idx="41">
                  <c:v>45733</c:v>
                </c:pt>
                <c:pt idx="42">
                  <c:v>45740</c:v>
                </c:pt>
                <c:pt idx="43">
                  <c:v>45747</c:v>
                </c:pt>
                <c:pt idx="44">
                  <c:v>45754</c:v>
                </c:pt>
                <c:pt idx="45">
                  <c:v>45761</c:v>
                </c:pt>
                <c:pt idx="46">
                  <c:v>45768</c:v>
                </c:pt>
                <c:pt idx="47">
                  <c:v>45775</c:v>
                </c:pt>
                <c:pt idx="48">
                  <c:v>45782</c:v>
                </c:pt>
                <c:pt idx="49">
                  <c:v>45789</c:v>
                </c:pt>
                <c:pt idx="50">
                  <c:v>45796</c:v>
                </c:pt>
                <c:pt idx="51">
                  <c:v>45803</c:v>
                </c:pt>
                <c:pt idx="52">
                  <c:v>45810</c:v>
                </c:pt>
                <c:pt idx="53">
                  <c:v>45817</c:v>
                </c:pt>
                <c:pt idx="54">
                  <c:v>45824</c:v>
                </c:pt>
                <c:pt idx="55">
                  <c:v>45831</c:v>
                </c:pt>
                <c:pt idx="56">
                  <c:v>45838</c:v>
                </c:pt>
                <c:pt idx="57">
                  <c:v>45845</c:v>
                </c:pt>
                <c:pt idx="58">
                  <c:v>45852</c:v>
                </c:pt>
                <c:pt idx="59">
                  <c:v>45859</c:v>
                </c:pt>
                <c:pt idx="60">
                  <c:v>45866</c:v>
                </c:pt>
                <c:pt idx="61">
                  <c:v>45873</c:v>
                </c:pt>
                <c:pt idx="62">
                  <c:v>45880</c:v>
                </c:pt>
                <c:pt idx="63">
                  <c:v>45887</c:v>
                </c:pt>
                <c:pt idx="64">
                  <c:v>45894</c:v>
                </c:pt>
                <c:pt idx="65">
                  <c:v>45901</c:v>
                </c:pt>
                <c:pt idx="66">
                  <c:v>45908</c:v>
                </c:pt>
              </c:numCache>
            </c:numRef>
          </c:cat>
          <c:val>
            <c:numRef>
              <c:f>All_Task_6_Analysis!$C$80:$C$146</c:f>
              <c:numCache>
                <c:formatCode>General</c:formatCode>
                <c:ptCount val="67"/>
                <c:pt idx="2" formatCode="0.00">
                  <c:v>3123.6666666666665</c:v>
                </c:pt>
                <c:pt idx="3" formatCode="0.00">
                  <c:v>2795</c:v>
                </c:pt>
                <c:pt idx="4" formatCode="0.00">
                  <c:v>2678</c:v>
                </c:pt>
                <c:pt idx="5" formatCode="0.00">
                  <c:v>2671.3333333333335</c:v>
                </c:pt>
                <c:pt idx="6" formatCode="0.00">
                  <c:v>2650</c:v>
                </c:pt>
                <c:pt idx="7" formatCode="0.00">
                  <c:v>2601.6666666666665</c:v>
                </c:pt>
                <c:pt idx="8" formatCode="0.00">
                  <c:v>2260.6666666666665</c:v>
                </c:pt>
                <c:pt idx="9" formatCode="0.00">
                  <c:v>2368.6666666666665</c:v>
                </c:pt>
                <c:pt idx="10" formatCode="0.00">
                  <c:v>2632.3333333333335</c:v>
                </c:pt>
                <c:pt idx="11" formatCode="0.00">
                  <c:v>2688.3333333333335</c:v>
                </c:pt>
                <c:pt idx="12" formatCode="0.00">
                  <c:v>2607.3333333333335</c:v>
                </c:pt>
                <c:pt idx="13" formatCode="0.00">
                  <c:v>2417.3333333333335</c:v>
                </c:pt>
                <c:pt idx="14" formatCode="0.00">
                  <c:v>2527.3333333333335</c:v>
                </c:pt>
                <c:pt idx="15" formatCode="0.00">
                  <c:v>2431.3333333333335</c:v>
                </c:pt>
                <c:pt idx="16" formatCode="0.00">
                  <c:v>2525.6666666666665</c:v>
                </c:pt>
                <c:pt idx="17" formatCode="0.00">
                  <c:v>2699.3333333333335</c:v>
                </c:pt>
                <c:pt idx="18" formatCode="0.00">
                  <c:v>2758</c:v>
                </c:pt>
                <c:pt idx="19" formatCode="0.00">
                  <c:v>2719.6666666666665</c:v>
                </c:pt>
                <c:pt idx="20" formatCode="0.00">
                  <c:v>2600</c:v>
                </c:pt>
                <c:pt idx="21" formatCode="0.00">
                  <c:v>2547.6666666666665</c:v>
                </c:pt>
                <c:pt idx="22" formatCode="0.00">
                  <c:v>2849.6666666666665</c:v>
                </c:pt>
                <c:pt idx="23" formatCode="0.00">
                  <c:v>2850.3333333333335</c:v>
                </c:pt>
                <c:pt idx="24" formatCode="0.00">
                  <c:v>2768.3333333333335</c:v>
                </c:pt>
                <c:pt idx="25" formatCode="0.00">
                  <c:v>2338.6666666666665</c:v>
                </c:pt>
                <c:pt idx="26" formatCode="0.00">
                  <c:v>2201.6666666666665</c:v>
                </c:pt>
                <c:pt idx="27" formatCode="0.00">
                  <c:v>2022.6666666666667</c:v>
                </c:pt>
                <c:pt idx="28" formatCode="0.00">
                  <c:v>2158</c:v>
                </c:pt>
                <c:pt idx="29" formatCode="0.00">
                  <c:v>2213.6666666666665</c:v>
                </c:pt>
                <c:pt idx="30" formatCode="0.00">
                  <c:v>2526.6666666666665</c:v>
                </c:pt>
                <c:pt idx="31" formatCode="0.00">
                  <c:v>2446</c:v>
                </c:pt>
                <c:pt idx="32" formatCode="0.00">
                  <c:v>2376.3333333333335</c:v>
                </c:pt>
                <c:pt idx="33" formatCode="0.00">
                  <c:v>2208</c:v>
                </c:pt>
                <c:pt idx="34" formatCode="0.00">
                  <c:v>2033.6666666666667</c:v>
                </c:pt>
                <c:pt idx="35" formatCode="0.00">
                  <c:v>1813.3333333333333</c:v>
                </c:pt>
                <c:pt idx="36" formatCode="0.00">
                  <c:v>1989.6666666666667</c:v>
                </c:pt>
                <c:pt idx="37" formatCode="0.00">
                  <c:v>1861.3333333333333</c:v>
                </c:pt>
                <c:pt idx="38" formatCode="0.00">
                  <c:v>1872.3333333333333</c:v>
                </c:pt>
                <c:pt idx="39" formatCode="0.00">
                  <c:v>2006.3333333333333</c:v>
                </c:pt>
                <c:pt idx="40" formatCode="0.00">
                  <c:v>2263.6666666666665</c:v>
                </c:pt>
                <c:pt idx="41" formatCode="0.00">
                  <c:v>2422</c:v>
                </c:pt>
                <c:pt idx="42" formatCode="0.00">
                  <c:v>2394</c:v>
                </c:pt>
                <c:pt idx="43" formatCode="0.00">
                  <c:v>2549.3333333333335</c:v>
                </c:pt>
                <c:pt idx="44" formatCode="0.00">
                  <c:v>2917</c:v>
                </c:pt>
                <c:pt idx="45" formatCode="0.00">
                  <c:v>3096</c:v>
                </c:pt>
                <c:pt idx="46" formatCode="0.00">
                  <c:v>2745</c:v>
                </c:pt>
                <c:pt idx="47" formatCode="0.00">
                  <c:v>2440.6666666666665</c:v>
                </c:pt>
                <c:pt idx="48" formatCode="0.00">
                  <c:v>2053.3333333333335</c:v>
                </c:pt>
                <c:pt idx="49" formatCode="0.00">
                  <c:v>1944</c:v>
                </c:pt>
                <c:pt idx="50" formatCode="0.00">
                  <c:v>2341</c:v>
                </c:pt>
                <c:pt idx="51" formatCode="0.00">
                  <c:v>2626</c:v>
                </c:pt>
                <c:pt idx="52" formatCode="0.00">
                  <c:v>2842.3333333333335</c:v>
                </c:pt>
                <c:pt idx="53" formatCode="0.00">
                  <c:v>2400.3333333333335</c:v>
                </c:pt>
                <c:pt idx="54" formatCode="0.00">
                  <c:v>2103</c:v>
                </c:pt>
                <c:pt idx="55" formatCode="0.00">
                  <c:v>1881.3333333333333</c:v>
                </c:pt>
                <c:pt idx="56" formatCode="0.00">
                  <c:v>1905.3333333333333</c:v>
                </c:pt>
                <c:pt idx="57" formatCode="0.00">
                  <c:v>2122.6666666666665</c:v>
                </c:pt>
                <c:pt idx="58" formatCode="0.00">
                  <c:v>2546</c:v>
                </c:pt>
                <c:pt idx="59" formatCode="0.00">
                  <c:v>2672.3333333333335</c:v>
                </c:pt>
                <c:pt idx="60" formatCode="0.00">
                  <c:v>2861.3333333333335</c:v>
                </c:pt>
                <c:pt idx="61" formatCode="0.00">
                  <c:v>2539.6666666666665</c:v>
                </c:pt>
                <c:pt idx="62" formatCode="0.00">
                  <c:v>2424</c:v>
                </c:pt>
                <c:pt idx="63" formatCode="0.00">
                  <c:v>1951.6666666666667</c:v>
                </c:pt>
                <c:pt idx="64" formatCode="0.00">
                  <c:v>2270.6666666666665</c:v>
                </c:pt>
                <c:pt idx="65" formatCode="0.00">
                  <c:v>1963</c:v>
                </c:pt>
                <c:pt idx="66" formatCode="0.00">
                  <c:v>1835.3333333333333</c:v>
                </c:pt>
              </c:numCache>
            </c:numRef>
          </c:val>
          <c:smooth val="0"/>
          <c:extLst>
            <c:ext xmlns:c16="http://schemas.microsoft.com/office/drawing/2014/chart" uri="{C3380CC4-5D6E-409C-BE32-E72D297353CC}">
              <c16:uniqueId val="{00000001-2C67-4F8A-800E-17BC2FFAF3A3}"/>
            </c:ext>
          </c:extLst>
        </c:ser>
        <c:dLbls>
          <c:showLegendKey val="0"/>
          <c:showVal val="0"/>
          <c:showCatName val="0"/>
          <c:showSerName val="0"/>
          <c:showPercent val="0"/>
          <c:showBubbleSize val="0"/>
        </c:dLbls>
        <c:smooth val="0"/>
        <c:axId val="464466208"/>
        <c:axId val="464467648"/>
      </c:lineChart>
      <c:dateAx>
        <c:axId val="464466208"/>
        <c:scaling>
          <c:orientation val="minMax"/>
        </c:scaling>
        <c:delete val="0"/>
        <c:axPos val="b"/>
        <c:numFmt formatCode="[$-1010000]d/m/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4467648"/>
        <c:crosses val="autoZero"/>
        <c:auto val="1"/>
        <c:lblOffset val="100"/>
        <c:baseTimeUnit val="days"/>
      </c:dateAx>
      <c:valAx>
        <c:axId val="46446764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4466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Correlation between Ad Spend vs. Follower Growth</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All_Task_6_Analysis!$C$154</c:f>
              <c:strCache>
                <c:ptCount val="1"/>
                <c:pt idx="0">
                  <c:v>Sum of Net Follower Gain</c:v>
                </c:pt>
              </c:strCache>
            </c:strRef>
          </c:tx>
          <c:spPr>
            <a:ln w="25400" cap="flat" cmpd="sng" algn="ctr">
              <a:noFill/>
              <a:prstDash val="sysDot"/>
              <a:round/>
            </a:ln>
            <a:effectLst>
              <a:outerShdw blurRad="63500" dist="25400" dir="14700000" algn="t" rotWithShape="0">
                <a:srgbClr val="000000">
                  <a:alpha val="50000"/>
                </a:srgbClr>
              </a:outerShdw>
            </a:effectLst>
          </c:spPr>
          <c:marker>
            <c:symbol val="circle"/>
            <c:size val="5"/>
            <c:spPr>
              <a:gradFill rotWithShape="1">
                <a:gsLst>
                  <a:gs pos="0">
                    <a:schemeClr val="accent1">
                      <a:tint val="10000"/>
                      <a:satMod val="300000"/>
                    </a:schemeClr>
                  </a:gs>
                  <a:gs pos="34000">
                    <a:schemeClr val="accent1">
                      <a:tint val="13500"/>
                      <a:satMod val="250000"/>
                    </a:schemeClr>
                  </a:gs>
                  <a:gs pos="100000">
                    <a:schemeClr val="accent1">
                      <a:tint val="60000"/>
                      <a:satMod val="200000"/>
                    </a:schemeClr>
                  </a:gs>
                </a:gsLst>
                <a:path path="circle">
                  <a:fillToRect l="50000" t="155000" r="50000" b="-55000"/>
                </a:path>
              </a:gradFill>
              <a:ln w="9525" cap="flat" cmpd="sng" algn="ctr">
                <a:solidFill>
                  <a:schemeClr val="accent1">
                    <a:shade val="95000"/>
                  </a:schemeClr>
                </a:solidFill>
                <a:round/>
              </a:ln>
              <a:effectLst>
                <a:outerShdw blurRad="63500" dist="25400" dir="14700000" algn="t" rotWithShape="0">
                  <a:srgbClr val="000000">
                    <a:alpha val="50000"/>
                  </a:srgbClr>
                </a:outerShdw>
              </a:effectLst>
            </c:spPr>
          </c:marker>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1"/>
            <c:dispEq val="1"/>
            <c:trendlineLbl>
              <c:layout>
                <c:manualLayout>
                  <c:x val="1.2323203845043667E-2"/>
                  <c:y val="6.4490960794177134E-3"/>
                </c:manualLayout>
              </c:layout>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y = 0.005x + 2172.2</a:t>
                    </a:r>
                    <a:br>
                      <a:rPr lang="en-US"/>
                    </a:br>
                    <a:r>
                      <a:rPr lang="en-US"/>
                      <a:t>R² = 0.01</a:t>
                    </a: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rendlineLbl>
          </c:trendline>
          <c:xVal>
            <c:numRef>
              <c:f>All_Task_6_Analysis!$B$155:$B$221</c:f>
              <c:numCache>
                <c:formatCode>0</c:formatCode>
                <c:ptCount val="67"/>
                <c:pt idx="0">
                  <c:v>53723</c:v>
                </c:pt>
                <c:pt idx="1">
                  <c:v>60293</c:v>
                </c:pt>
                <c:pt idx="2">
                  <c:v>51908</c:v>
                </c:pt>
                <c:pt idx="3">
                  <c:v>57474</c:v>
                </c:pt>
                <c:pt idx="4">
                  <c:v>52712</c:v>
                </c:pt>
                <c:pt idx="5">
                  <c:v>42020</c:v>
                </c:pt>
                <c:pt idx="6">
                  <c:v>48627</c:v>
                </c:pt>
                <c:pt idx="7">
                  <c:v>48009</c:v>
                </c:pt>
                <c:pt idx="8">
                  <c:v>34912</c:v>
                </c:pt>
                <c:pt idx="9">
                  <c:v>45349</c:v>
                </c:pt>
                <c:pt idx="10">
                  <c:v>24209</c:v>
                </c:pt>
                <c:pt idx="11">
                  <c:v>52127</c:v>
                </c:pt>
                <c:pt idx="12">
                  <c:v>66319</c:v>
                </c:pt>
                <c:pt idx="13">
                  <c:v>55150</c:v>
                </c:pt>
                <c:pt idx="14">
                  <c:v>44141</c:v>
                </c:pt>
                <c:pt idx="15">
                  <c:v>51007</c:v>
                </c:pt>
                <c:pt idx="16">
                  <c:v>61088</c:v>
                </c:pt>
                <c:pt idx="17">
                  <c:v>47808</c:v>
                </c:pt>
                <c:pt idx="18">
                  <c:v>40791</c:v>
                </c:pt>
                <c:pt idx="19">
                  <c:v>42137</c:v>
                </c:pt>
                <c:pt idx="20">
                  <c:v>52390</c:v>
                </c:pt>
                <c:pt idx="21">
                  <c:v>75610</c:v>
                </c:pt>
                <c:pt idx="22">
                  <c:v>51694</c:v>
                </c:pt>
                <c:pt idx="23">
                  <c:v>51792</c:v>
                </c:pt>
                <c:pt idx="24">
                  <c:v>40181</c:v>
                </c:pt>
                <c:pt idx="25">
                  <c:v>35823</c:v>
                </c:pt>
                <c:pt idx="26">
                  <c:v>45124</c:v>
                </c:pt>
                <c:pt idx="27">
                  <c:v>59678</c:v>
                </c:pt>
                <c:pt idx="28">
                  <c:v>51493</c:v>
                </c:pt>
                <c:pt idx="29">
                  <c:v>42747</c:v>
                </c:pt>
                <c:pt idx="30">
                  <c:v>44785</c:v>
                </c:pt>
                <c:pt idx="31">
                  <c:v>34533</c:v>
                </c:pt>
                <c:pt idx="32">
                  <c:v>27644</c:v>
                </c:pt>
                <c:pt idx="33">
                  <c:v>42348</c:v>
                </c:pt>
                <c:pt idx="34">
                  <c:v>37127</c:v>
                </c:pt>
                <c:pt idx="35">
                  <c:v>56414</c:v>
                </c:pt>
                <c:pt idx="36">
                  <c:v>37927</c:v>
                </c:pt>
                <c:pt idx="37">
                  <c:v>43741</c:v>
                </c:pt>
                <c:pt idx="38">
                  <c:v>57395</c:v>
                </c:pt>
                <c:pt idx="39">
                  <c:v>54434</c:v>
                </c:pt>
                <c:pt idx="40">
                  <c:v>59353</c:v>
                </c:pt>
                <c:pt idx="41">
                  <c:v>36312</c:v>
                </c:pt>
                <c:pt idx="42">
                  <c:v>44995</c:v>
                </c:pt>
                <c:pt idx="43">
                  <c:v>51236</c:v>
                </c:pt>
                <c:pt idx="44">
                  <c:v>54066</c:v>
                </c:pt>
                <c:pt idx="45">
                  <c:v>78882</c:v>
                </c:pt>
                <c:pt idx="46">
                  <c:v>60429</c:v>
                </c:pt>
                <c:pt idx="47">
                  <c:v>49246</c:v>
                </c:pt>
                <c:pt idx="48">
                  <c:v>34913</c:v>
                </c:pt>
                <c:pt idx="49">
                  <c:v>57847</c:v>
                </c:pt>
                <c:pt idx="50">
                  <c:v>49692</c:v>
                </c:pt>
                <c:pt idx="51">
                  <c:v>48399</c:v>
                </c:pt>
                <c:pt idx="52">
                  <c:v>39516</c:v>
                </c:pt>
                <c:pt idx="53">
                  <c:v>40484</c:v>
                </c:pt>
                <c:pt idx="54">
                  <c:v>38906</c:v>
                </c:pt>
                <c:pt idx="55">
                  <c:v>63317</c:v>
                </c:pt>
                <c:pt idx="56">
                  <c:v>57969</c:v>
                </c:pt>
                <c:pt idx="57">
                  <c:v>32182</c:v>
                </c:pt>
                <c:pt idx="58">
                  <c:v>40815</c:v>
                </c:pt>
                <c:pt idx="59">
                  <c:v>52043</c:v>
                </c:pt>
                <c:pt idx="60">
                  <c:v>59271</c:v>
                </c:pt>
                <c:pt idx="61">
                  <c:v>48774</c:v>
                </c:pt>
                <c:pt idx="62">
                  <c:v>37461</c:v>
                </c:pt>
                <c:pt idx="63">
                  <c:v>52726</c:v>
                </c:pt>
                <c:pt idx="64">
                  <c:v>39009</c:v>
                </c:pt>
                <c:pt idx="65">
                  <c:v>46102</c:v>
                </c:pt>
                <c:pt idx="66">
                  <c:v>19299</c:v>
                </c:pt>
              </c:numCache>
            </c:numRef>
          </c:xVal>
          <c:yVal>
            <c:numRef>
              <c:f>All_Task_6_Analysis!$C$155:$C$221</c:f>
              <c:numCache>
                <c:formatCode>0</c:formatCode>
                <c:ptCount val="67"/>
                <c:pt idx="0">
                  <c:v>3419</c:v>
                </c:pt>
                <c:pt idx="1">
                  <c:v>2777</c:v>
                </c:pt>
                <c:pt idx="2">
                  <c:v>3175</c:v>
                </c:pt>
                <c:pt idx="3">
                  <c:v>2433</c:v>
                </c:pt>
                <c:pt idx="4">
                  <c:v>2426</c:v>
                </c:pt>
                <c:pt idx="5">
                  <c:v>3155</c:v>
                </c:pt>
                <c:pt idx="6">
                  <c:v>2369</c:v>
                </c:pt>
                <c:pt idx="7">
                  <c:v>2281</c:v>
                </c:pt>
                <c:pt idx="8">
                  <c:v>2132</c:v>
                </c:pt>
                <c:pt idx="9">
                  <c:v>2693</c:v>
                </c:pt>
                <c:pt idx="10">
                  <c:v>3072</c:v>
                </c:pt>
                <c:pt idx="11">
                  <c:v>2300</c:v>
                </c:pt>
                <c:pt idx="12">
                  <c:v>2450</c:v>
                </c:pt>
                <c:pt idx="13">
                  <c:v>2502</c:v>
                </c:pt>
                <c:pt idx="14">
                  <c:v>2630</c:v>
                </c:pt>
                <c:pt idx="15">
                  <c:v>2162</c:v>
                </c:pt>
                <c:pt idx="16">
                  <c:v>2785</c:v>
                </c:pt>
                <c:pt idx="17">
                  <c:v>3151</c:v>
                </c:pt>
                <c:pt idx="18">
                  <c:v>2338</c:v>
                </c:pt>
                <c:pt idx="19">
                  <c:v>2670</c:v>
                </c:pt>
                <c:pt idx="20">
                  <c:v>2792</c:v>
                </c:pt>
                <c:pt idx="21">
                  <c:v>2181</c:v>
                </c:pt>
                <c:pt idx="22">
                  <c:v>3576</c:v>
                </c:pt>
                <c:pt idx="23">
                  <c:v>2794</c:v>
                </c:pt>
                <c:pt idx="24">
                  <c:v>1935</c:v>
                </c:pt>
                <c:pt idx="25">
                  <c:v>2287</c:v>
                </c:pt>
                <c:pt idx="26">
                  <c:v>2383</c:v>
                </c:pt>
                <c:pt idx="27">
                  <c:v>1398</c:v>
                </c:pt>
                <c:pt idx="28">
                  <c:v>2693</c:v>
                </c:pt>
                <c:pt idx="29">
                  <c:v>2550</c:v>
                </c:pt>
                <c:pt idx="30">
                  <c:v>2337</c:v>
                </c:pt>
                <c:pt idx="31">
                  <c:v>2451</c:v>
                </c:pt>
                <c:pt idx="32">
                  <c:v>2341</c:v>
                </c:pt>
                <c:pt idx="33">
                  <c:v>1832</c:v>
                </c:pt>
                <c:pt idx="34">
                  <c:v>1928</c:v>
                </c:pt>
                <c:pt idx="35">
                  <c:v>1680</c:v>
                </c:pt>
                <c:pt idx="36">
                  <c:v>2361</c:v>
                </c:pt>
                <c:pt idx="37">
                  <c:v>1543</c:v>
                </c:pt>
                <c:pt idx="38">
                  <c:v>1713</c:v>
                </c:pt>
                <c:pt idx="39">
                  <c:v>2763</c:v>
                </c:pt>
                <c:pt idx="40">
                  <c:v>2315</c:v>
                </c:pt>
                <c:pt idx="41">
                  <c:v>2188</c:v>
                </c:pt>
                <c:pt idx="42">
                  <c:v>2679</c:v>
                </c:pt>
                <c:pt idx="43">
                  <c:v>2781</c:v>
                </c:pt>
                <c:pt idx="44">
                  <c:v>3291</c:v>
                </c:pt>
                <c:pt idx="45">
                  <c:v>3216</c:v>
                </c:pt>
                <c:pt idx="46">
                  <c:v>1728</c:v>
                </c:pt>
                <c:pt idx="47">
                  <c:v>2378</c:v>
                </c:pt>
                <c:pt idx="48">
                  <c:v>2054</c:v>
                </c:pt>
                <c:pt idx="49">
                  <c:v>1400</c:v>
                </c:pt>
                <c:pt idx="50">
                  <c:v>3569</c:v>
                </c:pt>
                <c:pt idx="51">
                  <c:v>2909</c:v>
                </c:pt>
                <c:pt idx="52">
                  <c:v>2049</c:v>
                </c:pt>
                <c:pt idx="53">
                  <c:v>2243</c:v>
                </c:pt>
                <c:pt idx="54">
                  <c:v>2017</c:v>
                </c:pt>
                <c:pt idx="55">
                  <c:v>1384</c:v>
                </c:pt>
                <c:pt idx="56">
                  <c:v>2315</c:v>
                </c:pt>
                <c:pt idx="57">
                  <c:v>2669</c:v>
                </c:pt>
                <c:pt idx="58">
                  <c:v>2654</c:v>
                </c:pt>
                <c:pt idx="59">
                  <c:v>2694</c:v>
                </c:pt>
                <c:pt idx="60">
                  <c:v>3236</c:v>
                </c:pt>
                <c:pt idx="61">
                  <c:v>1689</c:v>
                </c:pt>
                <c:pt idx="62">
                  <c:v>2347</c:v>
                </c:pt>
                <c:pt idx="63">
                  <c:v>1819</c:v>
                </c:pt>
                <c:pt idx="64">
                  <c:v>2646</c:v>
                </c:pt>
                <c:pt idx="65">
                  <c:v>1424</c:v>
                </c:pt>
                <c:pt idx="66">
                  <c:v>1436</c:v>
                </c:pt>
              </c:numCache>
            </c:numRef>
          </c:yVal>
          <c:smooth val="0"/>
          <c:extLst>
            <c:ext xmlns:c16="http://schemas.microsoft.com/office/drawing/2014/chart" uri="{C3380CC4-5D6E-409C-BE32-E72D297353CC}">
              <c16:uniqueId val="{00000000-4E44-4FD2-A8DB-51957EDBD5F2}"/>
            </c:ext>
          </c:extLst>
        </c:ser>
        <c:dLbls>
          <c:showLegendKey val="0"/>
          <c:showVal val="0"/>
          <c:showCatName val="0"/>
          <c:showSerName val="0"/>
          <c:showPercent val="0"/>
          <c:showBubbleSize val="0"/>
        </c:dLbls>
        <c:axId val="2101888832"/>
        <c:axId val="2101889312"/>
      </c:scatterChart>
      <c:valAx>
        <c:axId val="2101888832"/>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Sum of Ad_Spend</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2101889312"/>
        <c:crosses val="autoZero"/>
        <c:crossBetween val="midCat"/>
      </c:valAx>
      <c:valAx>
        <c:axId val="2101889312"/>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Sum of Net Follower Gain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2101888832"/>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175260</xdr:colOff>
      <xdr:row>19</xdr:row>
      <xdr:rowOff>0</xdr:rowOff>
    </xdr:from>
    <xdr:to>
      <xdr:col>11</xdr:col>
      <xdr:colOff>982980</xdr:colOff>
      <xdr:row>38</xdr:row>
      <xdr:rowOff>106680</xdr:rowOff>
    </xdr:to>
    <xdr:graphicFrame macro="">
      <xdr:nvGraphicFramePr>
        <xdr:cNvPr id="4" name="Chart 3">
          <a:extLst>
            <a:ext uri="{FF2B5EF4-FFF2-40B4-BE49-F238E27FC236}">
              <a16:creationId xmlns:a16="http://schemas.microsoft.com/office/drawing/2014/main" id="{5E50BA6D-7506-38A5-50B1-BBA902E036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31</xdr:row>
      <xdr:rowOff>114300</xdr:rowOff>
    </xdr:from>
    <xdr:to>
      <xdr:col>3</xdr:col>
      <xdr:colOff>1097280</xdr:colOff>
      <xdr:row>38</xdr:row>
      <xdr:rowOff>106680</xdr:rowOff>
    </xdr:to>
    <xdr:sp macro="" textlink="">
      <xdr:nvSpPr>
        <xdr:cNvPr id="5" name="TextBox 4">
          <a:extLst>
            <a:ext uri="{FF2B5EF4-FFF2-40B4-BE49-F238E27FC236}">
              <a16:creationId xmlns:a16="http://schemas.microsoft.com/office/drawing/2014/main" id="{7AB92C2F-BBF7-1CFF-0CBA-CBB9F35ABDBF}"/>
            </a:ext>
          </a:extLst>
        </xdr:cNvPr>
        <xdr:cNvSpPr txBox="1"/>
      </xdr:nvSpPr>
      <xdr:spPr>
        <a:xfrm>
          <a:off x="7620" y="6697980"/>
          <a:ext cx="4556760" cy="127254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300" b="1">
              <a:solidFill>
                <a:schemeClr val="dk1"/>
              </a:solidFill>
              <a:latin typeface="+mn-lt"/>
              <a:ea typeface="+mn-ea"/>
              <a:cs typeface="+mn-cs"/>
            </a:rPr>
            <a:t>Final Insight:</a:t>
          </a:r>
        </a:p>
        <a:p>
          <a:r>
            <a:rPr lang="en-US" sz="1100" b="0" i="0">
              <a:solidFill>
                <a:schemeClr val="dk1"/>
              </a:solidFill>
              <a:effectLst/>
              <a:latin typeface="+mn-lt"/>
              <a:ea typeface="+mn-ea"/>
              <a:cs typeface="+mn-cs"/>
            </a:rPr>
            <a:t>• </a:t>
          </a:r>
          <a:r>
            <a:rPr lang="en-US" sz="1200" b="1"/>
            <a:t>Twitter</a:t>
          </a:r>
          <a:r>
            <a:rPr lang="en-US" sz="1200"/>
            <a:t> has the highest total engagement overall.</a:t>
          </a:r>
        </a:p>
        <a:p>
          <a:r>
            <a:rPr lang="en-US" sz="1100" b="0" i="0">
              <a:solidFill>
                <a:schemeClr val="dk1"/>
              </a:solidFill>
              <a:effectLst/>
              <a:latin typeface="+mn-lt"/>
              <a:ea typeface="+mn-ea"/>
              <a:cs typeface="+mn-cs"/>
            </a:rPr>
            <a:t>• </a:t>
          </a:r>
          <a:r>
            <a:rPr lang="en-US" sz="1200" b="1"/>
            <a:t>Instagram</a:t>
          </a:r>
          <a:r>
            <a:rPr lang="en-US" sz="1200"/>
            <a:t> performs strongly in Text content.</a:t>
          </a:r>
        </a:p>
        <a:p>
          <a:r>
            <a:rPr lang="en-US" sz="1100" b="0" i="0">
              <a:solidFill>
                <a:schemeClr val="dk1"/>
              </a:solidFill>
              <a:effectLst/>
              <a:latin typeface="+mn-lt"/>
              <a:ea typeface="+mn-ea"/>
              <a:cs typeface="+mn-cs"/>
            </a:rPr>
            <a:t>• </a:t>
          </a:r>
          <a:r>
            <a:rPr lang="en-US" sz="1200" b="1"/>
            <a:t>YouTube</a:t>
          </a:r>
          <a:r>
            <a:rPr lang="en-US" sz="1200"/>
            <a:t> engagement is lower compared to Twitter and Instagram.</a:t>
          </a:r>
        </a:p>
        <a:p>
          <a:r>
            <a:rPr lang="en-US" sz="1100" b="1" i="0">
              <a:solidFill>
                <a:schemeClr val="dk1"/>
              </a:solidFill>
              <a:effectLst/>
              <a:latin typeface="+mn-lt"/>
              <a:ea typeface="+mn-ea"/>
              <a:cs typeface="+mn-cs"/>
            </a:rPr>
            <a:t>• </a:t>
          </a:r>
          <a:r>
            <a:rPr lang="en-US" sz="1200" b="1"/>
            <a:t>Text content </a:t>
          </a:r>
          <a:r>
            <a:rPr lang="en-US" sz="1200"/>
            <a:t>performs consistently across all platforms.</a:t>
          </a:r>
        </a:p>
        <a:p>
          <a:r>
            <a:rPr lang="en-US" sz="1100" b="0" i="0">
              <a:solidFill>
                <a:schemeClr val="dk1"/>
              </a:solidFill>
              <a:effectLst/>
              <a:latin typeface="+mn-lt"/>
              <a:ea typeface="+mn-ea"/>
              <a:cs typeface="+mn-cs"/>
            </a:rPr>
            <a:t>• </a:t>
          </a:r>
          <a:r>
            <a:rPr lang="en-US" sz="1200" b="1"/>
            <a:t>Story content</a:t>
          </a:r>
          <a:r>
            <a:rPr lang="en-US" sz="1200"/>
            <a:t> performs best on Twitter.</a:t>
          </a:r>
        </a:p>
      </xdr:txBody>
    </xdr:sp>
    <xdr:clientData/>
  </xdr:twoCellAnchor>
  <xdr:twoCellAnchor>
    <xdr:from>
      <xdr:col>3</xdr:col>
      <xdr:colOff>883920</xdr:colOff>
      <xdr:row>45</xdr:row>
      <xdr:rowOff>76200</xdr:rowOff>
    </xdr:from>
    <xdr:to>
      <xdr:col>9</xdr:col>
      <xdr:colOff>373380</xdr:colOff>
      <xdr:row>65</xdr:row>
      <xdr:rowOff>60960</xdr:rowOff>
    </xdr:to>
    <xdr:graphicFrame macro="">
      <xdr:nvGraphicFramePr>
        <xdr:cNvPr id="6" name="Chart 5">
          <a:extLst>
            <a:ext uri="{FF2B5EF4-FFF2-40B4-BE49-F238E27FC236}">
              <a16:creationId xmlns:a16="http://schemas.microsoft.com/office/drawing/2014/main" id="{B289D5B3-DD8C-00FF-E7B3-F9F2AA8F80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55</xdr:row>
      <xdr:rowOff>68580</xdr:rowOff>
    </xdr:from>
    <xdr:to>
      <xdr:col>3</xdr:col>
      <xdr:colOff>754380</xdr:colOff>
      <xdr:row>63</xdr:row>
      <xdr:rowOff>175260</xdr:rowOff>
    </xdr:to>
    <xdr:sp macro="" textlink="">
      <xdr:nvSpPr>
        <xdr:cNvPr id="7" name="TextBox 6">
          <a:extLst>
            <a:ext uri="{FF2B5EF4-FFF2-40B4-BE49-F238E27FC236}">
              <a16:creationId xmlns:a16="http://schemas.microsoft.com/office/drawing/2014/main" id="{C1B54198-FDE1-A557-225B-E7DB5D1286AB}"/>
            </a:ext>
          </a:extLst>
        </xdr:cNvPr>
        <xdr:cNvSpPr txBox="1"/>
      </xdr:nvSpPr>
      <xdr:spPr>
        <a:xfrm>
          <a:off x="15240" y="10203180"/>
          <a:ext cx="4206240" cy="156972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300" b="1">
              <a:solidFill>
                <a:schemeClr val="dk1"/>
              </a:solidFill>
              <a:latin typeface="+mn-lt"/>
              <a:ea typeface="+mn-ea"/>
              <a:cs typeface="+mn-cs"/>
            </a:rPr>
            <a:t>Final Insight:</a:t>
          </a:r>
        </a:p>
        <a:p>
          <a:r>
            <a:rPr lang="en-US" sz="1200" b="1">
              <a:solidFill>
                <a:schemeClr val="dk1"/>
              </a:solidFill>
              <a:latin typeface="+mn-lt"/>
              <a:ea typeface="+mn-ea"/>
              <a:cs typeface="+mn-cs"/>
            </a:rPr>
            <a:t>#SpotifyWrapped </a:t>
          </a:r>
          <a:r>
            <a:rPr lang="en-US" sz="1200">
              <a:solidFill>
                <a:schemeClr val="dk1"/>
              </a:solidFill>
              <a:latin typeface="+mn-lt"/>
              <a:ea typeface="+mn-ea"/>
              <a:cs typeface="+mn-cs"/>
            </a:rPr>
            <a:t>has the highest average clicks (208.47), which means it attracts the most audience attention.</a:t>
          </a:r>
        </a:p>
        <a:p>
          <a:r>
            <a:rPr lang="en-US" sz="1200" b="1">
              <a:solidFill>
                <a:schemeClr val="dk1"/>
              </a:solidFill>
              <a:latin typeface="+mn-lt"/>
              <a:ea typeface="+mn-ea"/>
              <a:cs typeface="+mn-cs"/>
            </a:rPr>
            <a:t>#DiscoverWeekly </a:t>
          </a:r>
          <a:r>
            <a:rPr lang="en-US" sz="1200">
              <a:solidFill>
                <a:schemeClr val="dk1"/>
              </a:solidFill>
              <a:latin typeface="+mn-lt"/>
              <a:ea typeface="+mn-ea"/>
              <a:cs typeface="+mn-cs"/>
            </a:rPr>
            <a:t>and</a:t>
          </a:r>
          <a:r>
            <a:rPr lang="en-US"/>
            <a:t> </a:t>
          </a:r>
          <a:r>
            <a:rPr lang="en-US" sz="1200" b="1">
              <a:solidFill>
                <a:schemeClr val="dk1"/>
              </a:solidFill>
              <a:latin typeface="+mn-lt"/>
              <a:ea typeface="+mn-ea"/>
              <a:cs typeface="+mn-cs"/>
            </a:rPr>
            <a:t>#SoundtrackOfLife </a:t>
          </a:r>
          <a:r>
            <a:rPr lang="en-US" sz="1200">
              <a:solidFill>
                <a:schemeClr val="dk1"/>
              </a:solidFill>
              <a:latin typeface="+mn-lt"/>
              <a:ea typeface="+mn-ea"/>
              <a:cs typeface="+mn-cs"/>
            </a:rPr>
            <a:t>also perform well with high average </a:t>
          </a:r>
          <a:r>
            <a:rPr lang="en-US"/>
            <a:t>clicks.</a:t>
          </a:r>
        </a:p>
        <a:p>
          <a:r>
            <a:rPr lang="en-US" sz="1200" b="1">
              <a:solidFill>
                <a:schemeClr val="dk1"/>
              </a:solidFill>
              <a:latin typeface="+mn-lt"/>
              <a:ea typeface="+mn-ea"/>
              <a:cs typeface="+mn-cs"/>
            </a:rPr>
            <a:t>#MusicForEveryone </a:t>
          </a:r>
          <a:r>
            <a:rPr lang="en-US" sz="1200">
              <a:solidFill>
                <a:schemeClr val="dk1"/>
              </a:solidFill>
              <a:latin typeface="+mn-lt"/>
              <a:ea typeface="+mn-ea"/>
              <a:cs typeface="+mn-cs"/>
            </a:rPr>
            <a:t>has the lowest average clicks among all hashtags.</a:t>
          </a:r>
        </a:p>
        <a:p>
          <a:endParaRPr lang="en-US" sz="1100"/>
        </a:p>
      </xdr:txBody>
    </xdr:sp>
    <xdr:clientData/>
  </xdr:twoCellAnchor>
  <xdr:twoCellAnchor>
    <xdr:from>
      <xdr:col>0</xdr:col>
      <xdr:colOff>0</xdr:colOff>
      <xdr:row>79</xdr:row>
      <xdr:rowOff>160020</xdr:rowOff>
    </xdr:from>
    <xdr:to>
      <xdr:col>3</xdr:col>
      <xdr:colOff>1051560</xdr:colOff>
      <xdr:row>87</xdr:row>
      <xdr:rowOff>106680</xdr:rowOff>
    </xdr:to>
    <xdr:sp macro="" textlink="">
      <xdr:nvSpPr>
        <xdr:cNvPr id="9" name="TextBox 8">
          <a:extLst>
            <a:ext uri="{FF2B5EF4-FFF2-40B4-BE49-F238E27FC236}">
              <a16:creationId xmlns:a16="http://schemas.microsoft.com/office/drawing/2014/main" id="{6AF408F0-EC47-49D4-BE20-086DBF3F3E94}"/>
            </a:ext>
          </a:extLst>
        </xdr:cNvPr>
        <xdr:cNvSpPr txBox="1"/>
      </xdr:nvSpPr>
      <xdr:spPr>
        <a:xfrm>
          <a:off x="0" y="15521940"/>
          <a:ext cx="4518660" cy="140970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300" b="1">
              <a:solidFill>
                <a:schemeClr val="dk1"/>
              </a:solidFill>
              <a:latin typeface="+mn-lt"/>
              <a:ea typeface="+mn-ea"/>
              <a:cs typeface="+mn-cs"/>
            </a:rPr>
            <a:t>Final Insight:</a:t>
          </a:r>
        </a:p>
        <a:p>
          <a:r>
            <a:rPr lang="en-US" sz="1200" b="1"/>
            <a:t>#SpotifyWrapped</a:t>
          </a:r>
          <a:r>
            <a:rPr lang="en-US" sz="1200"/>
            <a:t> is the top-performing hashtag with the highest average clicks </a:t>
          </a:r>
          <a:r>
            <a:rPr lang="en-US" sz="1200" b="1"/>
            <a:t>(208.47).</a:t>
          </a:r>
        </a:p>
        <a:p>
          <a:r>
            <a:rPr lang="en-US" sz="1200" b="1"/>
            <a:t>#DiscoverWeekly</a:t>
          </a:r>
          <a:r>
            <a:rPr lang="en-US" sz="1200"/>
            <a:t> and </a:t>
          </a:r>
          <a:r>
            <a:rPr lang="en-US" sz="1200" b="1"/>
            <a:t>#SoundtrackOfLife</a:t>
          </a:r>
          <a:r>
            <a:rPr lang="en-US" sz="1200"/>
            <a:t> also perform strongly and rank 2nd and 3rd.</a:t>
          </a:r>
        </a:p>
        <a:p>
          <a:r>
            <a:rPr lang="en-US" sz="1200" b="1"/>
            <a:t>#MusicForEveryone</a:t>
          </a:r>
          <a:r>
            <a:rPr lang="en-US" sz="1200"/>
            <a:t> has the lowest average clicks among the listed hashtags.</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217382</xdr:colOff>
      <xdr:row>23</xdr:row>
      <xdr:rowOff>1905</xdr:rowOff>
    </xdr:from>
    <xdr:to>
      <xdr:col>24</xdr:col>
      <xdr:colOff>135890</xdr:colOff>
      <xdr:row>51</xdr:row>
      <xdr:rowOff>52916</xdr:rowOff>
    </xdr:to>
    <xdr:graphicFrame macro="">
      <xdr:nvGraphicFramePr>
        <xdr:cNvPr id="3" name="Chart 2">
          <a:extLst>
            <a:ext uri="{FF2B5EF4-FFF2-40B4-BE49-F238E27FC236}">
              <a16:creationId xmlns:a16="http://schemas.microsoft.com/office/drawing/2014/main" id="{B7E31B48-4152-4938-D72F-078903DB0E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171835</xdr:colOff>
      <xdr:row>99</xdr:row>
      <xdr:rowOff>135523</xdr:rowOff>
    </xdr:from>
    <xdr:to>
      <xdr:col>14</xdr:col>
      <xdr:colOff>321733</xdr:colOff>
      <xdr:row>116</xdr:row>
      <xdr:rowOff>122413</xdr:rowOff>
    </xdr:to>
    <xdr:graphicFrame macro="">
      <xdr:nvGraphicFramePr>
        <xdr:cNvPr id="4" name="Chart 3">
          <a:extLst>
            <a:ext uri="{FF2B5EF4-FFF2-40B4-BE49-F238E27FC236}">
              <a16:creationId xmlns:a16="http://schemas.microsoft.com/office/drawing/2014/main" id="{D182C112-5DB2-5BDF-BDFD-08EC8C5A1A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1286933</xdr:colOff>
      <xdr:row>124</xdr:row>
      <xdr:rowOff>143933</xdr:rowOff>
    </xdr:from>
    <xdr:ext cx="4741334" cy="2582333"/>
    <xdr:sp macro="" textlink="">
      <xdr:nvSpPr>
        <xdr:cNvPr id="5" name="TextBox 4">
          <a:extLst>
            <a:ext uri="{FF2B5EF4-FFF2-40B4-BE49-F238E27FC236}">
              <a16:creationId xmlns:a16="http://schemas.microsoft.com/office/drawing/2014/main" id="{C87EBE9E-EB4F-75E2-F3F8-F8608E2B1ABC}"/>
            </a:ext>
          </a:extLst>
        </xdr:cNvPr>
        <xdr:cNvSpPr txBox="1"/>
      </xdr:nvSpPr>
      <xdr:spPr>
        <a:xfrm>
          <a:off x="1286933" y="20074466"/>
          <a:ext cx="4741334" cy="2582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0</xdr:col>
      <xdr:colOff>211666</xdr:colOff>
      <xdr:row>125</xdr:row>
      <xdr:rowOff>50799</xdr:rowOff>
    </xdr:from>
    <xdr:to>
      <xdr:col>9</xdr:col>
      <xdr:colOff>440267</xdr:colOff>
      <xdr:row>148</xdr:row>
      <xdr:rowOff>67733</xdr:rowOff>
    </xdr:to>
    <xdr:sp macro="" textlink="">
      <xdr:nvSpPr>
        <xdr:cNvPr id="6" name="Rectangle: Rounded Corners 5">
          <a:extLst>
            <a:ext uri="{FF2B5EF4-FFF2-40B4-BE49-F238E27FC236}">
              <a16:creationId xmlns:a16="http://schemas.microsoft.com/office/drawing/2014/main" id="{CB02236D-FDEF-EEF1-DC1E-252ECF156198}"/>
            </a:ext>
          </a:extLst>
        </xdr:cNvPr>
        <xdr:cNvSpPr/>
      </xdr:nvSpPr>
      <xdr:spPr>
        <a:xfrm>
          <a:off x="211666" y="20167599"/>
          <a:ext cx="8966201" cy="4301067"/>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l"/>
          <a:r>
            <a:rPr lang="en-US" sz="1500" b="1"/>
            <a:t>Recommendation: Focus on Dual-Platform Strategy (Instagram &amp; Twitter):</a:t>
          </a:r>
        </a:p>
        <a:p>
          <a:pPr algn="l"/>
          <a:endParaRPr lang="en-US" sz="1200" b="1"/>
        </a:p>
        <a:p>
          <a:pPr algn="l"/>
          <a:r>
            <a:rPr lang="en-US" sz="1300" b="1"/>
            <a:t>Recommendation Summary</a:t>
          </a:r>
          <a:r>
            <a:rPr lang="en-US" sz="1200" b="1"/>
            <a:t>:</a:t>
          </a:r>
          <a:r>
            <a:rPr lang="en-US" sz="1200"/>
            <a:t> </a:t>
          </a:r>
          <a:r>
            <a:rPr lang="en-US" sz="1200">
              <a:solidFill>
                <a:schemeClr val="tx1"/>
              </a:solidFill>
              <a:latin typeface="+mn-lt"/>
              <a:ea typeface="+mn-ea"/>
              <a:cs typeface="+mn-cs"/>
            </a:rPr>
            <a:t>Based on the data analysis</a:t>
          </a:r>
          <a:r>
            <a:rPr lang="en-US" sz="1200">
              <a:solidFill>
                <a:schemeClr val="tx1"/>
              </a:solidFill>
              <a:effectLst/>
              <a:latin typeface="+mn-lt"/>
              <a:ea typeface="+mn-ea"/>
              <a:cs typeface="+mn-cs"/>
            </a:rPr>
            <a:t>, it </a:t>
          </a:r>
          <a:r>
            <a:rPr lang="en-US" sz="1200">
              <a:solidFill>
                <a:schemeClr val="tx1"/>
              </a:solidFill>
            </a:rPr>
            <a:t>suggests that Spotify should more concentrate on </a:t>
          </a:r>
          <a:r>
            <a:rPr lang="en-US" sz="1200" b="1">
              <a:solidFill>
                <a:schemeClr val="tx1"/>
              </a:solidFill>
            </a:rPr>
            <a:t>Twitter</a:t>
          </a:r>
          <a:r>
            <a:rPr lang="en-US" sz="1200">
              <a:solidFill>
                <a:schemeClr val="tx1"/>
              </a:solidFill>
            </a:rPr>
            <a:t> and </a:t>
          </a:r>
          <a:r>
            <a:rPr lang="en-US" sz="1200" b="1">
              <a:solidFill>
                <a:schemeClr val="tx1"/>
              </a:solidFill>
            </a:rPr>
            <a:t>Instagram</a:t>
          </a:r>
          <a:r>
            <a:rPr lang="en-US" sz="1200">
              <a:solidFill>
                <a:schemeClr val="tx1"/>
              </a:solidFill>
            </a:rPr>
            <a:t> while reducing its investment in YouTube to enhance the return on marketing investments(ROI).</a:t>
          </a:r>
        </a:p>
        <a:p>
          <a:pPr algn="l"/>
          <a:endParaRPr lang="en-US" sz="1200">
            <a:solidFill>
              <a:schemeClr val="tx1"/>
            </a:solidFill>
          </a:endParaRPr>
        </a:p>
        <a:p>
          <a:pPr algn="l"/>
          <a:r>
            <a:rPr lang="en-US" sz="1300" b="1">
              <a:solidFill>
                <a:schemeClr val="dk1"/>
              </a:solidFill>
              <a:effectLst/>
              <a:latin typeface="+mn-lt"/>
              <a:ea typeface="+mn-ea"/>
              <a:cs typeface="+mn-cs"/>
            </a:rPr>
            <a:t>Data Justifications:</a:t>
          </a:r>
          <a:endParaRPr lang="en-US" sz="1300"/>
        </a:p>
        <a:p>
          <a:pPr algn="l"/>
          <a:endParaRPr lang="en-US" sz="1200" b="1"/>
        </a:p>
        <a:p>
          <a:pPr algn="l"/>
          <a:r>
            <a:rPr lang="en-US" sz="1300" b="1"/>
            <a:t>Highest Engagement</a:t>
          </a:r>
          <a:r>
            <a:rPr lang="en-US" sz="1200" b="1"/>
            <a:t>:</a:t>
          </a:r>
          <a:r>
            <a:rPr lang="en-US" sz="1200"/>
            <a:t> </a:t>
          </a:r>
          <a:r>
            <a:rPr lang="en-US" sz="1200" b="1"/>
            <a:t>Twitter</a:t>
          </a:r>
          <a:r>
            <a:rPr lang="en-US" sz="1200"/>
            <a:t> is the clear winner in terms of audience interaction, with the highest average engagement rate of </a:t>
          </a:r>
          <a:r>
            <a:rPr lang="en-US" sz="1200" b="1"/>
            <a:t>6.89%</a:t>
          </a:r>
          <a:r>
            <a:rPr lang="en-US" sz="1200"/>
            <a:t>.</a:t>
          </a:r>
        </a:p>
        <a:p>
          <a:pPr algn="l"/>
          <a:endParaRPr lang="en-US" sz="1200" b="1"/>
        </a:p>
        <a:p>
          <a:pPr marL="0" marR="0" lvl="0" indent="0" algn="l" defTabSz="914400" eaLnBrk="1" fontAlgn="auto" latinLnBrk="0" hangingPunct="1">
            <a:lnSpc>
              <a:spcPct val="100000"/>
            </a:lnSpc>
            <a:spcBef>
              <a:spcPts val="0"/>
            </a:spcBef>
            <a:spcAft>
              <a:spcPts val="0"/>
            </a:spcAft>
            <a:buClrTx/>
            <a:buSzTx/>
            <a:buFontTx/>
            <a:buNone/>
            <a:tabLst/>
            <a:defRPr/>
          </a:pPr>
          <a:r>
            <a:rPr lang="en-US" sz="1300" b="1"/>
            <a:t>Ad Spend Efficiency</a:t>
          </a:r>
          <a:r>
            <a:rPr lang="en-US" sz="1200" b="1"/>
            <a:t>:</a:t>
          </a:r>
          <a:r>
            <a:rPr lang="en-US" sz="1200" b="0" baseline="0"/>
            <a:t> Through the</a:t>
          </a:r>
          <a:r>
            <a:rPr lang="en-US" sz="1200"/>
            <a:t> "Ad Spend vs. Engagement Rate chart" analysis it shows that </a:t>
          </a:r>
          <a:r>
            <a:rPr lang="en-US" sz="1200" b="1"/>
            <a:t>Twitter</a:t>
          </a:r>
          <a:r>
            <a:rPr lang="en-US" sz="1200"/>
            <a:t> provides the best return on investment (ROI). Even though</a:t>
          </a:r>
          <a:r>
            <a:rPr lang="en-US" sz="1200" baseline="0"/>
            <a:t> it spent </a:t>
          </a:r>
          <a:r>
            <a:rPr lang="en-US" sz="1200" b="1">
              <a:solidFill>
                <a:schemeClr val="dk1"/>
              </a:solidFill>
              <a:effectLst/>
              <a:latin typeface="+mn-lt"/>
              <a:ea typeface="+mn-ea"/>
              <a:cs typeface="+mn-cs"/>
            </a:rPr>
            <a:t>$1,114,204</a:t>
          </a:r>
          <a:r>
            <a:rPr lang="en-US" sz="1200" baseline="0"/>
            <a:t> on ads, it still keeps the highest engagement level compared to other platforms.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a:p>
        <a:p>
          <a:pPr marL="0" marR="0" lvl="0" indent="0" algn="l" defTabSz="914400" eaLnBrk="1" fontAlgn="auto" latinLnBrk="0" hangingPunct="1">
            <a:lnSpc>
              <a:spcPct val="100000"/>
            </a:lnSpc>
            <a:spcBef>
              <a:spcPts val="0"/>
            </a:spcBef>
            <a:spcAft>
              <a:spcPts val="0"/>
            </a:spcAft>
            <a:buClrTx/>
            <a:buSzTx/>
            <a:buFontTx/>
            <a:buNone/>
            <a:tabLst/>
            <a:defRPr/>
          </a:pPr>
          <a:r>
            <a:rPr lang="en-US" sz="1300" b="1"/>
            <a:t>Follower Retention &amp; Growth</a:t>
          </a:r>
          <a:r>
            <a:rPr lang="en-US" sz="1200" b="1"/>
            <a:t>:</a:t>
          </a:r>
          <a:r>
            <a:rPr lang="en-US" sz="1200"/>
            <a:t> YouTube shows a decent engagement rate, its weekly follower growth is the lowest at </a:t>
          </a:r>
          <a:r>
            <a:rPr lang="en-US" sz="1200" b="1"/>
            <a:t>0.39%</a:t>
          </a:r>
          <a:r>
            <a:rPr lang="en-US" sz="1200"/>
            <a:t>. While </a:t>
          </a:r>
          <a:r>
            <a:rPr lang="en-US" sz="1200" b="1"/>
            <a:t>Instagram</a:t>
          </a:r>
          <a:r>
            <a:rPr lang="en-US" sz="1200"/>
            <a:t> maintains a more consistent and healthy weekly follower</a:t>
          </a:r>
          <a:r>
            <a:rPr lang="en-US" sz="1200" baseline="0"/>
            <a:t> </a:t>
          </a:r>
          <a:r>
            <a:rPr lang="en-US" sz="1200"/>
            <a:t>growth rate of </a:t>
          </a:r>
          <a:r>
            <a:rPr lang="en-US" sz="1200" b="1"/>
            <a:t>0.44%</a:t>
          </a:r>
          <a:r>
            <a:rPr lang="en-US" sz="1200"/>
            <a:t>, making it essential for long-term community building.</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a:p>
        <a:p>
          <a:pPr algn="l"/>
          <a:r>
            <a:rPr lang="en-US" sz="1300" b="1"/>
            <a:t>Actionable Insight</a:t>
          </a:r>
          <a:r>
            <a:rPr lang="en-US" sz="1200" b="1"/>
            <a:t>:</a:t>
          </a:r>
          <a:r>
            <a:rPr lang="en-US" sz="1200"/>
            <a:t> By shifting the budget from low-performing areas like YouTube to high-engagement platforms like Twitter, Spotify can achieve higher brand loyalty and improve conversion rates without increasing marketing spend.</a:t>
          </a:r>
          <a:endParaRPr lang="en-US" sz="1200" b="1"/>
        </a:p>
      </xdr:txBody>
    </xdr:sp>
    <xdr:clientData/>
  </xdr:twoCellAnchor>
  <xdr:twoCellAnchor>
    <xdr:from>
      <xdr:col>0</xdr:col>
      <xdr:colOff>228602</xdr:colOff>
      <xdr:row>122</xdr:row>
      <xdr:rowOff>67733</xdr:rowOff>
    </xdr:from>
    <xdr:to>
      <xdr:col>6</xdr:col>
      <xdr:colOff>118535</xdr:colOff>
      <xdr:row>124</xdr:row>
      <xdr:rowOff>16933</xdr:rowOff>
    </xdr:to>
    <xdr:sp macro="" textlink="">
      <xdr:nvSpPr>
        <xdr:cNvPr id="7" name="TextBox 6">
          <a:extLst>
            <a:ext uri="{FF2B5EF4-FFF2-40B4-BE49-F238E27FC236}">
              <a16:creationId xmlns:a16="http://schemas.microsoft.com/office/drawing/2014/main" id="{7D280274-8BB3-79A5-9A5C-341D91F335F8}"/>
            </a:ext>
          </a:extLst>
        </xdr:cNvPr>
        <xdr:cNvSpPr txBox="1"/>
      </xdr:nvSpPr>
      <xdr:spPr>
        <a:xfrm>
          <a:off x="228602" y="19625733"/>
          <a:ext cx="6460066" cy="3217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dk1"/>
              </a:solidFill>
              <a:effectLst/>
              <a:latin typeface="+mn-lt"/>
              <a:ea typeface="+mn-ea"/>
              <a:cs typeface="+mn-cs"/>
            </a:rPr>
            <a:t>Recommendation: Focus on Dual-Platform Strategy (Instagram &amp; Twitter):</a:t>
          </a:r>
          <a:endParaRPr lang="en-US" sz="1600" b="1">
            <a:effectLst/>
          </a:endParaRPr>
        </a:p>
        <a:p>
          <a:endParaRPr lang="en-US" sz="1600" b="1"/>
        </a:p>
      </xdr:txBody>
    </xdr:sp>
    <xdr:clientData/>
  </xdr:twoCellAnchor>
  <xdr:twoCellAnchor>
    <xdr:from>
      <xdr:col>4</xdr:col>
      <xdr:colOff>169332</xdr:colOff>
      <xdr:row>0</xdr:row>
      <xdr:rowOff>16935</xdr:rowOff>
    </xdr:from>
    <xdr:to>
      <xdr:col>13</xdr:col>
      <xdr:colOff>321734</xdr:colOff>
      <xdr:row>15</xdr:row>
      <xdr:rowOff>101599</xdr:rowOff>
    </xdr:to>
    <xdr:graphicFrame macro="">
      <xdr:nvGraphicFramePr>
        <xdr:cNvPr id="8" name="Chart 7">
          <a:extLst>
            <a:ext uri="{FF2B5EF4-FFF2-40B4-BE49-F238E27FC236}">
              <a16:creationId xmlns:a16="http://schemas.microsoft.com/office/drawing/2014/main" id="{ADA8703D-0AFF-E24A-925F-D82764451D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253998</xdr:colOff>
      <xdr:row>51</xdr:row>
      <xdr:rowOff>93132</xdr:rowOff>
    </xdr:from>
    <xdr:to>
      <xdr:col>16</xdr:col>
      <xdr:colOff>448732</xdr:colOff>
      <xdr:row>57</xdr:row>
      <xdr:rowOff>160866</xdr:rowOff>
    </xdr:to>
    <xdr:sp macro="" textlink="">
      <xdr:nvSpPr>
        <xdr:cNvPr id="9" name="TextBox 8">
          <a:extLst>
            <a:ext uri="{FF2B5EF4-FFF2-40B4-BE49-F238E27FC236}">
              <a16:creationId xmlns:a16="http://schemas.microsoft.com/office/drawing/2014/main" id="{9BC02E5B-E528-9C5D-6E38-600FB716FA3D}"/>
            </a:ext>
          </a:extLst>
        </xdr:cNvPr>
        <xdr:cNvSpPr txBox="1"/>
      </xdr:nvSpPr>
      <xdr:spPr>
        <a:xfrm>
          <a:off x="6984998" y="9677399"/>
          <a:ext cx="7569201" cy="1185334"/>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300" b="1">
              <a:solidFill>
                <a:schemeClr val="dk1"/>
              </a:solidFill>
              <a:latin typeface="+mn-lt"/>
              <a:ea typeface="+mn-ea"/>
              <a:cs typeface="+mn-cs"/>
            </a:rPr>
            <a:t>Final Insight:</a:t>
          </a:r>
        </a:p>
        <a:p>
          <a:pPr algn="l"/>
          <a:r>
            <a:rPr lang="en-US" sz="1200">
              <a:solidFill>
                <a:schemeClr val="dk1"/>
              </a:solidFill>
              <a:latin typeface="+mn-lt"/>
              <a:ea typeface="+mn-ea"/>
              <a:cs typeface="+mn-cs"/>
            </a:rPr>
            <a:t>• </a:t>
          </a:r>
          <a:r>
            <a:rPr lang="en-US" sz="1200" b="1">
              <a:solidFill>
                <a:schemeClr val="dk1"/>
              </a:solidFill>
              <a:latin typeface="+mn-lt"/>
              <a:ea typeface="+mn-ea"/>
              <a:cs typeface="+mn-cs"/>
            </a:rPr>
            <a:t>Twitter</a:t>
          </a:r>
          <a:r>
            <a:rPr lang="en-US" sz="1200">
              <a:solidFill>
                <a:schemeClr val="dk1"/>
              </a:solidFill>
              <a:latin typeface="+mn-lt"/>
              <a:ea typeface="+mn-ea"/>
              <a:cs typeface="+mn-cs"/>
            </a:rPr>
            <a:t> shows the highest average weekly follower growth rate </a:t>
          </a:r>
          <a:r>
            <a:rPr lang="en-US" sz="1200" b="1">
              <a:solidFill>
                <a:schemeClr val="dk1"/>
              </a:solidFill>
              <a:latin typeface="+mn-lt"/>
              <a:ea typeface="+mn-ea"/>
              <a:cs typeface="+mn-cs"/>
            </a:rPr>
            <a:t>(0.47%), </a:t>
          </a:r>
          <a:r>
            <a:rPr lang="en-US" sz="1200">
              <a:solidFill>
                <a:schemeClr val="dk1"/>
              </a:solidFill>
              <a:latin typeface="+mn-lt"/>
              <a:ea typeface="+mn-ea"/>
              <a:cs typeface="+mn-cs"/>
            </a:rPr>
            <a:t>indicating stronger audience expansion.</a:t>
          </a:r>
        </a:p>
        <a:p>
          <a:pPr algn="l"/>
          <a:r>
            <a:rPr lang="en-US" sz="1100" b="0" i="0">
              <a:solidFill>
                <a:schemeClr val="dk1"/>
              </a:solidFill>
              <a:effectLst/>
              <a:latin typeface="+mn-lt"/>
              <a:ea typeface="+mn-ea"/>
              <a:cs typeface="+mn-cs"/>
            </a:rPr>
            <a:t>• </a:t>
          </a:r>
          <a:r>
            <a:rPr lang="en-US" sz="1200" b="1">
              <a:solidFill>
                <a:schemeClr val="dk1"/>
              </a:solidFill>
              <a:latin typeface="+mn-lt"/>
              <a:ea typeface="+mn-ea"/>
              <a:cs typeface="+mn-cs"/>
            </a:rPr>
            <a:t>Instagram</a:t>
          </a:r>
          <a:r>
            <a:rPr lang="en-US" sz="1200">
              <a:solidFill>
                <a:schemeClr val="dk1"/>
              </a:solidFill>
              <a:latin typeface="+mn-lt"/>
              <a:ea typeface="+mn-ea"/>
              <a:cs typeface="+mn-cs"/>
            </a:rPr>
            <a:t> follows closely with </a:t>
          </a:r>
          <a:r>
            <a:rPr lang="en-US" sz="1200" b="1">
              <a:solidFill>
                <a:schemeClr val="dk1"/>
              </a:solidFill>
              <a:latin typeface="+mn-lt"/>
              <a:ea typeface="+mn-ea"/>
              <a:cs typeface="+mn-cs"/>
            </a:rPr>
            <a:t>0.44% </a:t>
          </a:r>
          <a:r>
            <a:rPr lang="en-US" sz="1200">
              <a:solidFill>
                <a:schemeClr val="dk1"/>
              </a:solidFill>
              <a:latin typeface="+mn-lt"/>
              <a:ea typeface="+mn-ea"/>
              <a:cs typeface="+mn-cs"/>
            </a:rPr>
            <a:t>average growth.</a:t>
          </a:r>
        </a:p>
        <a:p>
          <a:pPr algn="l"/>
          <a:r>
            <a:rPr lang="en-US" sz="1100" b="0" i="0">
              <a:solidFill>
                <a:schemeClr val="dk1"/>
              </a:solidFill>
              <a:effectLst/>
              <a:latin typeface="+mn-lt"/>
              <a:ea typeface="+mn-ea"/>
              <a:cs typeface="+mn-cs"/>
            </a:rPr>
            <a:t>• </a:t>
          </a:r>
          <a:r>
            <a:rPr lang="en-US" sz="1200" b="1">
              <a:solidFill>
                <a:schemeClr val="dk1"/>
              </a:solidFill>
              <a:latin typeface="+mn-lt"/>
              <a:ea typeface="+mn-ea"/>
              <a:cs typeface="+mn-cs"/>
            </a:rPr>
            <a:t>YouTube</a:t>
          </a:r>
          <a:r>
            <a:rPr lang="en-US" sz="1200">
              <a:solidFill>
                <a:schemeClr val="dk1"/>
              </a:solidFill>
              <a:latin typeface="+mn-lt"/>
              <a:ea typeface="+mn-ea"/>
              <a:cs typeface="+mn-cs"/>
            </a:rPr>
            <a:t> records the lowest average growth rate </a:t>
          </a:r>
          <a:r>
            <a:rPr lang="en-US" sz="1200" b="1">
              <a:solidFill>
                <a:schemeClr val="dk1"/>
              </a:solidFill>
              <a:latin typeface="+mn-lt"/>
              <a:ea typeface="+mn-ea"/>
              <a:cs typeface="+mn-cs"/>
            </a:rPr>
            <a:t>(0.39%).</a:t>
          </a:r>
        </a:p>
        <a:p>
          <a:pPr algn="l"/>
          <a:r>
            <a:rPr lang="en-US" sz="1100" b="0" i="0">
              <a:solidFill>
                <a:schemeClr val="dk1"/>
              </a:solidFill>
              <a:effectLst/>
              <a:latin typeface="+mn-lt"/>
              <a:ea typeface="+mn-ea"/>
              <a:cs typeface="+mn-cs"/>
            </a:rPr>
            <a:t>• </a:t>
          </a:r>
          <a:r>
            <a:rPr lang="en-US" sz="1200">
              <a:solidFill>
                <a:schemeClr val="dk1"/>
              </a:solidFill>
              <a:latin typeface="+mn-lt"/>
              <a:ea typeface="+mn-ea"/>
              <a:cs typeface="+mn-cs"/>
            </a:rPr>
            <a:t>Growth patterns fluctuate weekly across platforms, suggesting campaign or content timing impacts performance.</a:t>
          </a:r>
        </a:p>
        <a:p>
          <a:endParaRPr lang="en-US" sz="1100"/>
        </a:p>
      </xdr:txBody>
    </xdr:sp>
    <xdr:clientData/>
  </xdr:twoCellAnchor>
  <xdr:twoCellAnchor>
    <xdr:from>
      <xdr:col>0</xdr:col>
      <xdr:colOff>0</xdr:colOff>
      <xdr:row>6</xdr:row>
      <xdr:rowOff>110066</xdr:rowOff>
    </xdr:from>
    <xdr:to>
      <xdr:col>4</xdr:col>
      <xdr:colOff>135466</xdr:colOff>
      <xdr:row>15</xdr:row>
      <xdr:rowOff>67733</xdr:rowOff>
    </xdr:to>
    <xdr:sp macro="" textlink="">
      <xdr:nvSpPr>
        <xdr:cNvPr id="10" name="TextBox 9">
          <a:extLst>
            <a:ext uri="{FF2B5EF4-FFF2-40B4-BE49-F238E27FC236}">
              <a16:creationId xmlns:a16="http://schemas.microsoft.com/office/drawing/2014/main" id="{84D6814B-4A88-0230-AD09-9E3A9A98E8E4}"/>
            </a:ext>
          </a:extLst>
        </xdr:cNvPr>
        <xdr:cNvSpPr txBox="1"/>
      </xdr:nvSpPr>
      <xdr:spPr>
        <a:xfrm>
          <a:off x="0" y="1236133"/>
          <a:ext cx="5274733" cy="1634067"/>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300" b="1">
              <a:solidFill>
                <a:schemeClr val="dk1"/>
              </a:solidFill>
              <a:latin typeface="+mn-lt"/>
              <a:ea typeface="+mn-ea"/>
              <a:cs typeface="+mn-cs"/>
            </a:rPr>
            <a:t>Final Insight:</a:t>
          </a:r>
        </a:p>
        <a:p>
          <a:pPr marL="0" indent="0" algn="l"/>
          <a:r>
            <a:rPr lang="en-US" sz="1100">
              <a:solidFill>
                <a:schemeClr val="dk1"/>
              </a:solidFill>
              <a:effectLst/>
              <a:latin typeface="+mn-lt"/>
              <a:ea typeface="+mn-ea"/>
              <a:cs typeface="+mn-cs"/>
            </a:rPr>
            <a:t>• </a:t>
          </a:r>
          <a:r>
            <a:rPr lang="en-US" sz="1200" b="1">
              <a:solidFill>
                <a:schemeClr val="dk1"/>
              </a:solidFill>
              <a:latin typeface="+mn-lt"/>
              <a:ea typeface="+mn-ea"/>
              <a:cs typeface="+mn-cs"/>
            </a:rPr>
            <a:t>Twitter</a:t>
          </a:r>
          <a:r>
            <a:rPr lang="en-US" sz="1200">
              <a:solidFill>
                <a:schemeClr val="dk1"/>
              </a:solidFill>
              <a:latin typeface="+mn-lt"/>
              <a:ea typeface="+mn-ea"/>
              <a:cs typeface="+mn-cs"/>
            </a:rPr>
            <a:t> has the </a:t>
          </a:r>
          <a:r>
            <a:rPr lang="en-US" sz="1200" b="1">
              <a:solidFill>
                <a:schemeClr val="dk1"/>
              </a:solidFill>
              <a:latin typeface="+mn-lt"/>
              <a:ea typeface="+mn-ea"/>
              <a:cs typeface="+mn-cs"/>
            </a:rPr>
            <a:t>highest</a:t>
          </a:r>
          <a:r>
            <a:rPr lang="en-US" sz="1200">
              <a:solidFill>
                <a:schemeClr val="dk1"/>
              </a:solidFill>
              <a:latin typeface="+mn-lt"/>
              <a:ea typeface="+mn-ea"/>
              <a:cs typeface="+mn-cs"/>
            </a:rPr>
            <a:t> average engagement rate </a:t>
          </a:r>
          <a:r>
            <a:rPr lang="en-US" sz="1200" b="1">
              <a:solidFill>
                <a:schemeClr val="dk1"/>
              </a:solidFill>
              <a:latin typeface="+mn-lt"/>
              <a:ea typeface="+mn-ea"/>
              <a:cs typeface="+mn-cs"/>
            </a:rPr>
            <a:t>(6.89%).</a:t>
          </a:r>
        </a:p>
        <a:p>
          <a:pPr marL="0" indent="0" algn="l"/>
          <a:r>
            <a:rPr lang="en-US" sz="1100">
              <a:solidFill>
                <a:schemeClr val="dk1"/>
              </a:solidFill>
              <a:effectLst/>
              <a:latin typeface="+mn-lt"/>
              <a:ea typeface="+mn-ea"/>
              <a:cs typeface="+mn-cs"/>
            </a:rPr>
            <a:t>• </a:t>
          </a:r>
          <a:r>
            <a:rPr lang="en-US" sz="1200" b="1">
              <a:solidFill>
                <a:schemeClr val="dk1"/>
              </a:solidFill>
              <a:latin typeface="+mn-lt"/>
              <a:ea typeface="+mn-ea"/>
              <a:cs typeface="+mn-cs"/>
            </a:rPr>
            <a:t>YouTube</a:t>
          </a:r>
          <a:r>
            <a:rPr lang="en-US" sz="1200">
              <a:solidFill>
                <a:schemeClr val="dk1"/>
              </a:solidFill>
              <a:latin typeface="+mn-lt"/>
              <a:ea typeface="+mn-ea"/>
              <a:cs typeface="+mn-cs"/>
            </a:rPr>
            <a:t> ranks second with </a:t>
          </a:r>
          <a:r>
            <a:rPr lang="en-US" sz="1200" b="1">
              <a:solidFill>
                <a:schemeClr val="dk1"/>
              </a:solidFill>
              <a:latin typeface="+mn-lt"/>
              <a:ea typeface="+mn-ea"/>
              <a:cs typeface="+mn-cs"/>
            </a:rPr>
            <a:t>6.72%.</a:t>
          </a:r>
        </a:p>
        <a:p>
          <a:pPr marL="0" indent="0" algn="l"/>
          <a:r>
            <a:rPr lang="en-US" sz="1100">
              <a:solidFill>
                <a:schemeClr val="dk1"/>
              </a:solidFill>
              <a:effectLst/>
              <a:latin typeface="+mn-lt"/>
              <a:ea typeface="+mn-ea"/>
              <a:cs typeface="+mn-cs"/>
            </a:rPr>
            <a:t>• </a:t>
          </a:r>
          <a:r>
            <a:rPr lang="en-US" sz="1200" b="1">
              <a:solidFill>
                <a:schemeClr val="dk1"/>
              </a:solidFill>
              <a:latin typeface="+mn-lt"/>
              <a:ea typeface="+mn-ea"/>
              <a:cs typeface="+mn-cs"/>
            </a:rPr>
            <a:t>Instagram</a:t>
          </a:r>
          <a:r>
            <a:rPr lang="en-US" sz="1200">
              <a:solidFill>
                <a:schemeClr val="dk1"/>
              </a:solidFill>
              <a:latin typeface="+mn-lt"/>
              <a:ea typeface="+mn-ea"/>
              <a:cs typeface="+mn-cs"/>
            </a:rPr>
            <a:t> has the </a:t>
          </a:r>
          <a:r>
            <a:rPr lang="en-US" sz="1200" b="1">
              <a:solidFill>
                <a:schemeClr val="dk1"/>
              </a:solidFill>
              <a:latin typeface="+mn-lt"/>
              <a:ea typeface="+mn-ea"/>
              <a:cs typeface="+mn-cs"/>
            </a:rPr>
            <a:t>lowest</a:t>
          </a:r>
          <a:r>
            <a:rPr lang="en-US" sz="1200">
              <a:solidFill>
                <a:schemeClr val="dk1"/>
              </a:solidFill>
              <a:latin typeface="+mn-lt"/>
              <a:ea typeface="+mn-ea"/>
              <a:cs typeface="+mn-cs"/>
            </a:rPr>
            <a:t> engagement rate </a:t>
          </a:r>
          <a:r>
            <a:rPr lang="en-US" sz="1200" b="1">
              <a:solidFill>
                <a:schemeClr val="dk1"/>
              </a:solidFill>
              <a:latin typeface="+mn-lt"/>
              <a:ea typeface="+mn-ea"/>
              <a:cs typeface="+mn-cs"/>
            </a:rPr>
            <a:t>(6.46%).</a:t>
          </a:r>
        </a:p>
        <a:p>
          <a:pPr marL="0" indent="0" algn="l"/>
          <a:r>
            <a:rPr lang="en-US" sz="1100">
              <a:solidFill>
                <a:schemeClr val="dk1"/>
              </a:solidFill>
              <a:effectLst/>
              <a:latin typeface="+mn-lt"/>
              <a:ea typeface="+mn-ea"/>
              <a:cs typeface="+mn-cs"/>
            </a:rPr>
            <a:t>• </a:t>
          </a:r>
          <a:r>
            <a:rPr lang="en-US" sz="1200">
              <a:solidFill>
                <a:schemeClr val="dk1"/>
              </a:solidFill>
              <a:latin typeface="+mn-lt"/>
              <a:ea typeface="+mn-ea"/>
              <a:cs typeface="+mn-cs"/>
            </a:rPr>
            <a:t>The difference between platforms is small, indicating relatively balanced engagement.</a:t>
          </a:r>
        </a:p>
        <a:p>
          <a:pPr marL="0" indent="0" algn="l"/>
          <a:r>
            <a:rPr lang="en-US" sz="1100">
              <a:solidFill>
                <a:schemeClr val="dk1"/>
              </a:solidFill>
              <a:effectLst/>
              <a:latin typeface="+mn-lt"/>
              <a:ea typeface="+mn-ea"/>
              <a:cs typeface="+mn-cs"/>
            </a:rPr>
            <a:t>• </a:t>
          </a:r>
          <a:r>
            <a:rPr lang="en-US" sz="1200">
              <a:solidFill>
                <a:schemeClr val="dk1"/>
              </a:solidFill>
              <a:latin typeface="+mn-lt"/>
              <a:ea typeface="+mn-ea"/>
              <a:cs typeface="+mn-cs"/>
            </a:rPr>
            <a:t>However,</a:t>
          </a:r>
          <a:r>
            <a:rPr lang="en-US" sz="1200" b="1">
              <a:solidFill>
                <a:schemeClr val="dk1"/>
              </a:solidFill>
              <a:latin typeface="+mn-lt"/>
              <a:ea typeface="+mn-ea"/>
              <a:cs typeface="+mn-cs"/>
            </a:rPr>
            <a:t> Twitter </a:t>
          </a:r>
          <a:r>
            <a:rPr lang="en-US" sz="1200">
              <a:solidFill>
                <a:schemeClr val="dk1"/>
              </a:solidFill>
              <a:latin typeface="+mn-lt"/>
              <a:ea typeface="+mn-ea"/>
              <a:cs typeface="+mn-cs"/>
            </a:rPr>
            <a:t>performs slightly </a:t>
          </a:r>
          <a:r>
            <a:rPr lang="en-US" sz="1200" b="1">
              <a:solidFill>
                <a:schemeClr val="dk1"/>
              </a:solidFill>
              <a:latin typeface="+mn-lt"/>
              <a:ea typeface="+mn-ea"/>
              <a:cs typeface="+mn-cs"/>
            </a:rPr>
            <a:t>better</a:t>
          </a:r>
          <a:r>
            <a:rPr lang="en-US" sz="1200">
              <a:solidFill>
                <a:schemeClr val="dk1"/>
              </a:solidFill>
              <a:latin typeface="+mn-lt"/>
              <a:ea typeface="+mn-ea"/>
              <a:cs typeface="+mn-cs"/>
            </a:rPr>
            <a:t> and may be prioritized for </a:t>
          </a:r>
          <a:r>
            <a:rPr lang="en-US" sz="1200" b="1">
              <a:solidFill>
                <a:schemeClr val="dk1"/>
              </a:solidFill>
              <a:latin typeface="+mn-lt"/>
              <a:ea typeface="+mn-ea"/>
              <a:cs typeface="+mn-cs"/>
            </a:rPr>
            <a:t>higher </a:t>
          </a:r>
          <a:r>
            <a:rPr lang="en-US" sz="1200">
              <a:solidFill>
                <a:schemeClr val="dk1"/>
              </a:solidFill>
              <a:latin typeface="+mn-lt"/>
              <a:ea typeface="+mn-ea"/>
              <a:cs typeface="+mn-cs"/>
            </a:rPr>
            <a:t>engagement-focused campaigns.</a:t>
          </a:r>
        </a:p>
        <a:p>
          <a:endParaRPr lang="en-US" sz="1100"/>
        </a:p>
      </xdr:txBody>
    </xdr:sp>
    <xdr:clientData/>
  </xdr:twoCellAnchor>
  <xdr:twoCellAnchor>
    <xdr:from>
      <xdr:col>0</xdr:col>
      <xdr:colOff>0</xdr:colOff>
      <xdr:row>108</xdr:row>
      <xdr:rowOff>169334</xdr:rowOff>
    </xdr:from>
    <xdr:to>
      <xdr:col>4</xdr:col>
      <xdr:colOff>118533</xdr:colOff>
      <xdr:row>116</xdr:row>
      <xdr:rowOff>101600</xdr:rowOff>
    </xdr:to>
    <xdr:sp macro="" textlink="">
      <xdr:nvSpPr>
        <xdr:cNvPr id="11" name="TextBox 10">
          <a:extLst>
            <a:ext uri="{FF2B5EF4-FFF2-40B4-BE49-F238E27FC236}">
              <a16:creationId xmlns:a16="http://schemas.microsoft.com/office/drawing/2014/main" id="{3F974D2D-7D9E-11D0-6BF3-5B644C6536AE}"/>
            </a:ext>
          </a:extLst>
        </xdr:cNvPr>
        <xdr:cNvSpPr txBox="1"/>
      </xdr:nvSpPr>
      <xdr:spPr>
        <a:xfrm>
          <a:off x="0" y="24443267"/>
          <a:ext cx="5257800" cy="142240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300" b="1">
              <a:solidFill>
                <a:schemeClr val="dk1"/>
              </a:solidFill>
              <a:latin typeface="+mn-lt"/>
              <a:ea typeface="+mn-ea"/>
              <a:cs typeface="+mn-cs"/>
            </a:rPr>
            <a:t>Final Insight:</a:t>
          </a:r>
        </a:p>
        <a:p>
          <a:pPr marL="0" indent="0" algn="l"/>
          <a:r>
            <a:rPr lang="en-US" sz="1100">
              <a:solidFill>
                <a:schemeClr val="dk1"/>
              </a:solidFill>
              <a:effectLst/>
              <a:latin typeface="+mn-lt"/>
              <a:ea typeface="+mn-ea"/>
              <a:cs typeface="+mn-cs"/>
            </a:rPr>
            <a:t>• </a:t>
          </a:r>
          <a:r>
            <a:rPr lang="en-US" sz="1200" b="1">
              <a:solidFill>
                <a:schemeClr val="dk1"/>
              </a:solidFill>
              <a:latin typeface="+mn-lt"/>
              <a:ea typeface="+mn-ea"/>
              <a:cs typeface="+mn-cs"/>
            </a:rPr>
            <a:t>Twitter</a:t>
          </a:r>
          <a:r>
            <a:rPr lang="en-US" sz="1200">
              <a:solidFill>
                <a:schemeClr val="dk1"/>
              </a:solidFill>
              <a:latin typeface="+mn-lt"/>
              <a:ea typeface="+mn-ea"/>
              <a:cs typeface="+mn-cs"/>
            </a:rPr>
            <a:t> has the </a:t>
          </a:r>
          <a:r>
            <a:rPr lang="en-US" sz="1200" b="1">
              <a:solidFill>
                <a:schemeClr val="dk1"/>
              </a:solidFill>
              <a:latin typeface="+mn-lt"/>
              <a:ea typeface="+mn-ea"/>
              <a:cs typeface="+mn-cs"/>
            </a:rPr>
            <a:t>highest</a:t>
          </a:r>
          <a:r>
            <a:rPr lang="en-US" sz="1200">
              <a:solidFill>
                <a:schemeClr val="dk1"/>
              </a:solidFill>
              <a:latin typeface="+mn-lt"/>
              <a:ea typeface="+mn-ea"/>
              <a:cs typeface="+mn-cs"/>
            </a:rPr>
            <a:t> ad spend </a:t>
          </a:r>
          <a:r>
            <a:rPr lang="en-US" sz="1200" b="1">
              <a:solidFill>
                <a:schemeClr val="dk1"/>
              </a:solidFill>
              <a:latin typeface="+mn-lt"/>
              <a:ea typeface="+mn-ea"/>
              <a:cs typeface="+mn-cs"/>
            </a:rPr>
            <a:t>(1,114,204) </a:t>
          </a:r>
          <a:r>
            <a:rPr lang="en-US" sz="1200">
              <a:solidFill>
                <a:schemeClr val="dk1"/>
              </a:solidFill>
              <a:latin typeface="+mn-lt"/>
              <a:ea typeface="+mn-ea"/>
              <a:cs typeface="+mn-cs"/>
            </a:rPr>
            <a:t>and also the </a:t>
          </a:r>
          <a:r>
            <a:rPr lang="en-US" sz="1200" b="1">
              <a:solidFill>
                <a:schemeClr val="dk1"/>
              </a:solidFill>
              <a:latin typeface="+mn-lt"/>
              <a:ea typeface="+mn-ea"/>
              <a:cs typeface="+mn-cs"/>
            </a:rPr>
            <a:t>highest</a:t>
          </a:r>
          <a:r>
            <a:rPr lang="en-US" sz="1200">
              <a:solidFill>
                <a:schemeClr val="dk1"/>
              </a:solidFill>
              <a:latin typeface="+mn-lt"/>
              <a:ea typeface="+mn-ea"/>
              <a:cs typeface="+mn-cs"/>
            </a:rPr>
            <a:t> engagement rate </a:t>
          </a:r>
          <a:r>
            <a:rPr lang="en-US" sz="1200" b="1">
              <a:solidFill>
                <a:schemeClr val="dk1"/>
              </a:solidFill>
              <a:latin typeface="+mn-lt"/>
              <a:ea typeface="+mn-ea"/>
              <a:cs typeface="+mn-cs"/>
            </a:rPr>
            <a:t>(6.89%).</a:t>
          </a:r>
        </a:p>
        <a:p>
          <a:pPr marL="0" indent="0" algn="l"/>
          <a:r>
            <a:rPr lang="en-US" sz="1100">
              <a:solidFill>
                <a:schemeClr val="dk1"/>
              </a:solidFill>
              <a:effectLst/>
              <a:latin typeface="+mn-lt"/>
              <a:ea typeface="+mn-ea"/>
              <a:cs typeface="+mn-cs"/>
            </a:rPr>
            <a:t>• </a:t>
          </a:r>
          <a:r>
            <a:rPr lang="en-US" sz="1200" b="1">
              <a:solidFill>
                <a:schemeClr val="dk1"/>
              </a:solidFill>
              <a:latin typeface="+mn-lt"/>
              <a:ea typeface="+mn-ea"/>
              <a:cs typeface="+mn-cs"/>
            </a:rPr>
            <a:t>Instagram</a:t>
          </a:r>
          <a:r>
            <a:rPr lang="en-US" sz="1200">
              <a:solidFill>
                <a:schemeClr val="dk1"/>
              </a:solidFill>
              <a:latin typeface="+mn-lt"/>
              <a:ea typeface="+mn-ea"/>
              <a:cs typeface="+mn-cs"/>
            </a:rPr>
            <a:t> has the </a:t>
          </a:r>
          <a:r>
            <a:rPr lang="en-US" sz="1200" b="1">
              <a:solidFill>
                <a:schemeClr val="dk1"/>
              </a:solidFill>
              <a:latin typeface="+mn-lt"/>
              <a:ea typeface="+mn-ea"/>
              <a:cs typeface="+mn-cs"/>
            </a:rPr>
            <a:t>lowest</a:t>
          </a:r>
          <a:r>
            <a:rPr lang="en-US" sz="1200">
              <a:solidFill>
                <a:schemeClr val="dk1"/>
              </a:solidFill>
              <a:latin typeface="+mn-lt"/>
              <a:ea typeface="+mn-ea"/>
              <a:cs typeface="+mn-cs"/>
            </a:rPr>
            <a:t> ad spend and the </a:t>
          </a:r>
          <a:r>
            <a:rPr lang="en-US" sz="1200" b="1">
              <a:solidFill>
                <a:schemeClr val="dk1"/>
              </a:solidFill>
              <a:latin typeface="+mn-lt"/>
              <a:ea typeface="+mn-ea"/>
              <a:cs typeface="+mn-cs"/>
            </a:rPr>
            <a:t>lowest</a:t>
          </a:r>
          <a:r>
            <a:rPr lang="en-US" sz="1200">
              <a:solidFill>
                <a:schemeClr val="dk1"/>
              </a:solidFill>
              <a:latin typeface="+mn-lt"/>
              <a:ea typeface="+mn-ea"/>
              <a:cs typeface="+mn-cs"/>
            </a:rPr>
            <a:t> engagement rate.</a:t>
          </a:r>
        </a:p>
        <a:p>
          <a:pPr marL="0" indent="0" algn="l"/>
          <a:r>
            <a:rPr lang="en-US" sz="1100">
              <a:solidFill>
                <a:schemeClr val="dk1"/>
              </a:solidFill>
              <a:effectLst/>
              <a:latin typeface="+mn-lt"/>
              <a:ea typeface="+mn-ea"/>
              <a:cs typeface="+mn-cs"/>
            </a:rPr>
            <a:t>• </a:t>
          </a:r>
          <a:r>
            <a:rPr lang="en-US" sz="1200">
              <a:solidFill>
                <a:schemeClr val="dk1"/>
              </a:solidFill>
              <a:latin typeface="+mn-lt"/>
              <a:ea typeface="+mn-ea"/>
              <a:cs typeface="+mn-cs"/>
            </a:rPr>
            <a:t>This indicates a positive relationship between ad spend and engagement.</a:t>
          </a:r>
        </a:p>
        <a:p>
          <a:pPr marL="0" indent="0" algn="l"/>
          <a:r>
            <a:rPr lang="en-US" sz="1100">
              <a:solidFill>
                <a:schemeClr val="dk1"/>
              </a:solidFill>
              <a:effectLst/>
              <a:latin typeface="+mn-lt"/>
              <a:ea typeface="+mn-ea"/>
              <a:cs typeface="+mn-cs"/>
            </a:rPr>
            <a:t>• </a:t>
          </a:r>
          <a:r>
            <a:rPr lang="en-US" sz="1200">
              <a:solidFill>
                <a:schemeClr val="dk1"/>
              </a:solidFill>
              <a:latin typeface="+mn-lt"/>
              <a:ea typeface="+mn-ea"/>
              <a:cs typeface="+mn-cs"/>
            </a:rPr>
            <a:t>Increased advertising investment appears to contribute to better audience engagement.</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358140</xdr:colOff>
      <xdr:row>25</xdr:row>
      <xdr:rowOff>156210</xdr:rowOff>
    </xdr:from>
    <xdr:to>
      <xdr:col>15</xdr:col>
      <xdr:colOff>15240</xdr:colOff>
      <xdr:row>43</xdr:row>
      <xdr:rowOff>7620</xdr:rowOff>
    </xdr:to>
    <xdr:graphicFrame macro="">
      <xdr:nvGraphicFramePr>
        <xdr:cNvPr id="2" name="Chart 1">
          <a:extLst>
            <a:ext uri="{FF2B5EF4-FFF2-40B4-BE49-F238E27FC236}">
              <a16:creationId xmlns:a16="http://schemas.microsoft.com/office/drawing/2014/main" id="{7DADBBA6-D3C1-EAEB-6E8F-D842FDA89C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38101</xdr:colOff>
      <xdr:row>52</xdr:row>
      <xdr:rowOff>22861</xdr:rowOff>
    </xdr:from>
    <xdr:to>
      <xdr:col>6</xdr:col>
      <xdr:colOff>350520</xdr:colOff>
      <xdr:row>69</xdr:row>
      <xdr:rowOff>22860</xdr:rowOff>
    </xdr:to>
    <xdr:sp macro="" textlink="">
      <xdr:nvSpPr>
        <xdr:cNvPr id="3" name="Rectangle: Rounded Corners 2">
          <a:extLst>
            <a:ext uri="{FF2B5EF4-FFF2-40B4-BE49-F238E27FC236}">
              <a16:creationId xmlns:a16="http://schemas.microsoft.com/office/drawing/2014/main" id="{5F98A2D5-183D-4BBC-A91F-1D84709CEC77}"/>
            </a:ext>
          </a:extLst>
        </xdr:cNvPr>
        <xdr:cNvSpPr/>
      </xdr:nvSpPr>
      <xdr:spPr>
        <a:xfrm>
          <a:off x="38101" y="8435341"/>
          <a:ext cx="7071359" cy="3108959"/>
        </a:xfrm>
        <a:prstGeom prst="roundRect">
          <a:avLst/>
        </a:prstGeom>
        <a:solidFill>
          <a:schemeClr val="accent3">
            <a:lumMod val="20000"/>
            <a:lumOff val="80000"/>
          </a:schemeClr>
        </a:solidFill>
        <a:ln>
          <a:solidFill>
            <a:schemeClr val="accent6">
              <a:lumMod val="20000"/>
              <a:lumOff val="80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600" b="1"/>
            <a:t>Hashtag &amp; Content Strategy Recommendation:</a:t>
          </a:r>
        </a:p>
        <a:p>
          <a:pPr algn="l"/>
          <a:endParaRPr lang="en-US" sz="1200" b="1"/>
        </a:p>
        <a:p>
          <a:pPr algn="l"/>
          <a:r>
            <a:rPr lang="en-US" sz="1300" b="1"/>
            <a:t>Optimal Content Combination:</a:t>
          </a:r>
          <a:r>
            <a:rPr lang="en-US" sz="1300"/>
            <a:t> </a:t>
          </a:r>
        </a:p>
        <a:p>
          <a:pPr algn="l"/>
          <a:r>
            <a:rPr lang="en-US" sz="1200"/>
            <a:t>Focus on </a:t>
          </a:r>
          <a:r>
            <a:rPr lang="en-US" sz="1200" b="1"/>
            <a:t>Story</a:t>
          </a:r>
          <a:r>
            <a:rPr lang="en-US" sz="1200"/>
            <a:t> content for </a:t>
          </a:r>
          <a:r>
            <a:rPr lang="en-US" sz="1200" b="1"/>
            <a:t>Instagram and Twitter</a:t>
          </a:r>
          <a:r>
            <a:rPr lang="en-US" sz="1200"/>
            <a:t> to achieve a peak engagement of </a:t>
          </a:r>
          <a:r>
            <a:rPr lang="en-US" sz="1200" b="1"/>
            <a:t>9.62%</a:t>
          </a:r>
          <a:r>
            <a:rPr lang="en-US" sz="1200"/>
            <a:t>. While</a:t>
          </a:r>
          <a:r>
            <a:rPr lang="en-US" sz="1200" baseline="0"/>
            <a:t> on</a:t>
          </a:r>
          <a:r>
            <a:rPr lang="en-US" sz="1200"/>
            <a:t> </a:t>
          </a:r>
          <a:r>
            <a:rPr lang="en-US" sz="1200" b="1"/>
            <a:t>YouTube</a:t>
          </a:r>
          <a:r>
            <a:rPr lang="en-US" sz="1200"/>
            <a:t>, prioritize </a:t>
          </a:r>
          <a:r>
            <a:rPr lang="en-US" sz="1200" b="1"/>
            <a:t>Reels and Text</a:t>
          </a:r>
          <a:r>
            <a:rPr lang="en-US" sz="1200"/>
            <a:t>, which maintain a steady </a:t>
          </a:r>
          <a:r>
            <a:rPr lang="en-US" sz="1200" b="1"/>
            <a:t>9%</a:t>
          </a:r>
          <a:r>
            <a:rPr lang="en-US" sz="1200"/>
            <a:t> engagement.</a:t>
          </a:r>
        </a:p>
        <a:p>
          <a:pPr algn="l"/>
          <a:endParaRPr lang="en-US" sz="1200" b="1"/>
        </a:p>
        <a:p>
          <a:pPr algn="l"/>
          <a:r>
            <a:rPr lang="en-US" sz="1300" b="1"/>
            <a:t>Hashtag Strategy:</a:t>
          </a:r>
          <a:r>
            <a:rPr lang="en-US" sz="1300"/>
            <a:t> </a:t>
          </a:r>
        </a:p>
        <a:p>
          <a:pPr algn="l"/>
          <a:r>
            <a:rPr lang="en-US" sz="1200"/>
            <a:t>Use </a:t>
          </a:r>
          <a:r>
            <a:rPr lang="en-US" sz="1200" b="1"/>
            <a:t>#NowPlaying</a:t>
          </a:r>
          <a:r>
            <a:rPr lang="en-US" sz="1200"/>
            <a:t> for maximum reach as it is the most frequent hashtag </a:t>
          </a:r>
          <a:r>
            <a:rPr lang="en-US" sz="1200" b="1"/>
            <a:t>(143 uses)</a:t>
          </a:r>
          <a:r>
            <a:rPr lang="en-US" sz="1200"/>
            <a:t>, but integrate it with </a:t>
          </a:r>
          <a:r>
            <a:rPr lang="en-US" sz="1200" b="1"/>
            <a:t>#SpotifyWrapped</a:t>
          </a:r>
          <a:r>
            <a:rPr lang="en-US" sz="1200"/>
            <a:t> to maintain a consistent </a:t>
          </a:r>
          <a:r>
            <a:rPr lang="en-US" sz="1200" b="1"/>
            <a:t>9%</a:t>
          </a:r>
          <a:r>
            <a:rPr lang="en-US" sz="1200"/>
            <a:t> engagement across all posts. Even though </a:t>
          </a:r>
          <a:r>
            <a:rPr lang="en-US" sz="1200" b="1"/>
            <a:t>#SpotifyWrapped</a:t>
          </a:r>
          <a:r>
            <a:rPr lang="en-US" sz="1200"/>
            <a:t> has fewer uses (</a:t>
          </a:r>
          <a:r>
            <a:rPr lang="en-US" sz="1200" b="1"/>
            <a:t>34 uses</a:t>
          </a:r>
          <a:r>
            <a:rPr lang="en-US" sz="1200"/>
            <a:t>), it still delivers a maximum engagement rate of </a:t>
          </a:r>
          <a:r>
            <a:rPr lang="en-US" sz="1200" b="1"/>
            <a:t>9%</a:t>
          </a:r>
          <a:r>
            <a:rPr lang="en-US" sz="1200"/>
            <a:t>, matching hashtags that have much higher usage counts.</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algn="l"/>
          <a:endParaRPr lang="en-US" sz="1200" b="1"/>
        </a:p>
        <a:p>
          <a:pPr marL="0" marR="0" lvl="0" indent="0" algn="l" defTabSz="914400" eaLnBrk="1" fontAlgn="auto" latinLnBrk="0" hangingPunct="1">
            <a:lnSpc>
              <a:spcPct val="100000"/>
            </a:lnSpc>
            <a:spcBef>
              <a:spcPts val="0"/>
            </a:spcBef>
            <a:spcAft>
              <a:spcPts val="0"/>
            </a:spcAft>
            <a:buClrTx/>
            <a:buSzTx/>
            <a:buFontTx/>
            <a:buNone/>
            <a:tabLst/>
            <a:defRPr/>
          </a:pPr>
          <a:r>
            <a:rPr lang="en-US" sz="1300" b="1">
              <a:solidFill>
                <a:schemeClr val="dk1"/>
              </a:solidFill>
              <a:effectLst/>
              <a:latin typeface="+mn-lt"/>
              <a:ea typeface="+mn-ea"/>
              <a:cs typeface="+mn-cs"/>
            </a:rPr>
            <a:t>Actionable Insight:</a:t>
          </a:r>
          <a:r>
            <a:rPr lang="en-US" sz="1300">
              <a:solidFill>
                <a:schemeClr val="dk1"/>
              </a:solidFill>
              <a:effectLst/>
              <a:latin typeface="+mn-lt"/>
              <a:ea typeface="+mn-ea"/>
              <a:cs typeface="+mn-cs"/>
            </a:rPr>
            <a:t> </a:t>
          </a:r>
          <a:r>
            <a:rPr lang="en-US" sz="1200"/>
            <a:t>There is a significant opportunity to test </a:t>
          </a:r>
          <a:r>
            <a:rPr lang="en-US" sz="1200" b="1"/>
            <a:t>Reels on Instagram</a:t>
          </a:r>
          <a:r>
            <a:rPr lang="en-US" sz="1200"/>
            <a:t>, as the current data shows no entries for this high-potential combination.</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a:p>
      </xdr:txBody>
    </xdr:sp>
    <xdr:clientData/>
  </xdr:twoCellAnchor>
  <xdr:twoCellAnchor>
    <xdr:from>
      <xdr:col>0</xdr:col>
      <xdr:colOff>76200</xdr:colOff>
      <xdr:row>49</xdr:row>
      <xdr:rowOff>152400</xdr:rowOff>
    </xdr:from>
    <xdr:to>
      <xdr:col>5</xdr:col>
      <xdr:colOff>144780</xdr:colOff>
      <xdr:row>51</xdr:row>
      <xdr:rowOff>99060</xdr:rowOff>
    </xdr:to>
    <xdr:sp macro="" textlink="">
      <xdr:nvSpPr>
        <xdr:cNvPr id="4" name="TextBox 3">
          <a:extLst>
            <a:ext uri="{FF2B5EF4-FFF2-40B4-BE49-F238E27FC236}">
              <a16:creationId xmlns:a16="http://schemas.microsoft.com/office/drawing/2014/main" id="{5B57A342-20F5-681A-9734-762B3C442C45}"/>
            </a:ext>
          </a:extLst>
        </xdr:cNvPr>
        <xdr:cNvSpPr txBox="1"/>
      </xdr:nvSpPr>
      <xdr:spPr>
        <a:xfrm>
          <a:off x="76200" y="8016240"/>
          <a:ext cx="6217920" cy="312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dk1"/>
              </a:solidFill>
              <a:latin typeface="+mn-lt"/>
              <a:ea typeface="+mn-ea"/>
              <a:cs typeface="+mn-cs"/>
            </a:rPr>
            <a:t>Recommendations: Optimal Content Type-Platform Combinations</a:t>
          </a:r>
        </a:p>
      </xdr:txBody>
    </xdr:sp>
    <xdr:clientData/>
  </xdr:twoCellAnchor>
  <xdr:twoCellAnchor>
    <xdr:from>
      <xdr:col>3</xdr:col>
      <xdr:colOff>449580</xdr:colOff>
      <xdr:row>0</xdr:row>
      <xdr:rowOff>0</xdr:rowOff>
    </xdr:from>
    <xdr:to>
      <xdr:col>14</xdr:col>
      <xdr:colOff>0</xdr:colOff>
      <xdr:row>17</xdr:row>
      <xdr:rowOff>91440</xdr:rowOff>
    </xdr:to>
    <xdr:graphicFrame macro="">
      <xdr:nvGraphicFramePr>
        <xdr:cNvPr id="5" name="Chart 4">
          <a:extLst>
            <a:ext uri="{FF2B5EF4-FFF2-40B4-BE49-F238E27FC236}">
              <a16:creationId xmlns:a16="http://schemas.microsoft.com/office/drawing/2014/main" id="{F1820E13-1454-3692-59AC-7D7ECE424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10</xdr:row>
      <xdr:rowOff>129540</xdr:rowOff>
    </xdr:from>
    <xdr:to>
      <xdr:col>3</xdr:col>
      <xdr:colOff>358140</xdr:colOff>
      <xdr:row>16</xdr:row>
      <xdr:rowOff>160020</xdr:rowOff>
    </xdr:to>
    <xdr:sp macro="" textlink="">
      <xdr:nvSpPr>
        <xdr:cNvPr id="6" name="TextBox 5">
          <a:extLst>
            <a:ext uri="{FF2B5EF4-FFF2-40B4-BE49-F238E27FC236}">
              <a16:creationId xmlns:a16="http://schemas.microsoft.com/office/drawing/2014/main" id="{F2E14911-0457-7909-5566-2CB922038D54}"/>
            </a:ext>
          </a:extLst>
        </xdr:cNvPr>
        <xdr:cNvSpPr txBox="1"/>
      </xdr:nvSpPr>
      <xdr:spPr>
        <a:xfrm>
          <a:off x="15240" y="1958340"/>
          <a:ext cx="4465320" cy="112776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t>Final Insight:</a:t>
          </a:r>
        </a:p>
        <a:p>
          <a:r>
            <a:rPr lang="en-US" sz="1200" b="1"/>
            <a:t>#NowPlaying </a:t>
          </a:r>
          <a:r>
            <a:rPr lang="en-US" sz="1200"/>
            <a:t>is the most used and best-performing hashtag with the highest engagement rate </a:t>
          </a:r>
          <a:r>
            <a:rPr lang="en-US" sz="1200" b="1"/>
            <a:t>(9.86%). </a:t>
          </a:r>
          <a:r>
            <a:rPr lang="en-US" sz="1200">
              <a:solidFill>
                <a:schemeClr val="dk1"/>
              </a:solidFill>
              <a:latin typeface="+mn-lt"/>
              <a:ea typeface="+mn-ea"/>
              <a:cs typeface="+mn-cs"/>
            </a:rPr>
            <a:t>Some hashtags are used frequently but generate lower engagement. This shows that choosing the right hashtag strategy can improve overall engagement.</a:t>
          </a:r>
        </a:p>
      </xdr:txBody>
    </xdr:sp>
    <xdr:clientData/>
  </xdr:twoCellAnchor>
  <xdr:twoCellAnchor>
    <xdr:from>
      <xdr:col>0</xdr:col>
      <xdr:colOff>0</xdr:colOff>
      <xdr:row>33</xdr:row>
      <xdr:rowOff>106680</xdr:rowOff>
    </xdr:from>
    <xdr:to>
      <xdr:col>5</xdr:col>
      <xdr:colOff>281940</xdr:colOff>
      <xdr:row>42</xdr:row>
      <xdr:rowOff>175260</xdr:rowOff>
    </xdr:to>
    <xdr:sp macro="" textlink="">
      <xdr:nvSpPr>
        <xdr:cNvPr id="7" name="TextBox 6">
          <a:extLst>
            <a:ext uri="{FF2B5EF4-FFF2-40B4-BE49-F238E27FC236}">
              <a16:creationId xmlns:a16="http://schemas.microsoft.com/office/drawing/2014/main" id="{88535340-0252-F857-5833-019BD71DCBD0}"/>
            </a:ext>
          </a:extLst>
        </xdr:cNvPr>
        <xdr:cNvSpPr txBox="1"/>
      </xdr:nvSpPr>
      <xdr:spPr>
        <a:xfrm>
          <a:off x="0" y="6141720"/>
          <a:ext cx="5676900" cy="171450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300" b="1">
              <a:solidFill>
                <a:schemeClr val="dk1"/>
              </a:solidFill>
              <a:latin typeface="+mn-lt"/>
              <a:ea typeface="+mn-ea"/>
              <a:cs typeface="+mn-cs"/>
            </a:rPr>
            <a:t>Final Insight:</a:t>
          </a:r>
        </a:p>
        <a:p>
          <a:pPr marL="0" indent="0"/>
          <a:r>
            <a:rPr lang="en-US" sz="1200">
              <a:solidFill>
                <a:schemeClr val="dk1"/>
              </a:solidFill>
              <a:latin typeface="+mn-lt"/>
              <a:ea typeface="+mn-ea"/>
              <a:cs typeface="+mn-cs"/>
            </a:rPr>
            <a:t>The data shows that </a:t>
          </a:r>
          <a:r>
            <a:rPr lang="en-US" sz="1200" b="1">
              <a:solidFill>
                <a:schemeClr val="dk1"/>
              </a:solidFill>
              <a:latin typeface="+mn-lt"/>
              <a:ea typeface="+mn-ea"/>
              <a:cs typeface="+mn-cs"/>
            </a:rPr>
            <a:t>Story</a:t>
          </a:r>
          <a:r>
            <a:rPr lang="en-US" sz="1200">
              <a:solidFill>
                <a:schemeClr val="dk1"/>
              </a:solidFill>
              <a:latin typeface="+mn-lt"/>
              <a:ea typeface="+mn-ea"/>
              <a:cs typeface="+mn-cs"/>
            </a:rPr>
            <a:t> content performs the </a:t>
          </a:r>
          <a:r>
            <a:rPr lang="en-US" sz="1200" b="1">
              <a:solidFill>
                <a:schemeClr val="dk1"/>
              </a:solidFill>
              <a:latin typeface="+mn-lt"/>
              <a:ea typeface="+mn-ea"/>
              <a:cs typeface="+mn-cs"/>
            </a:rPr>
            <a:t>best</a:t>
          </a:r>
          <a:r>
            <a:rPr lang="en-US" sz="1200">
              <a:solidFill>
                <a:schemeClr val="dk1"/>
              </a:solidFill>
              <a:latin typeface="+mn-lt"/>
              <a:ea typeface="+mn-ea"/>
              <a:cs typeface="+mn-cs"/>
            </a:rPr>
            <a:t> overall, with the </a:t>
          </a:r>
          <a:r>
            <a:rPr lang="en-US" sz="1200" b="1">
              <a:solidFill>
                <a:schemeClr val="dk1"/>
              </a:solidFill>
              <a:latin typeface="+mn-lt"/>
              <a:ea typeface="+mn-ea"/>
              <a:cs typeface="+mn-cs"/>
            </a:rPr>
            <a:t>highest</a:t>
          </a:r>
          <a:r>
            <a:rPr lang="en-US" sz="1200">
              <a:solidFill>
                <a:schemeClr val="dk1"/>
              </a:solidFill>
              <a:latin typeface="+mn-lt"/>
              <a:ea typeface="+mn-ea"/>
              <a:cs typeface="+mn-cs"/>
            </a:rPr>
            <a:t> average engagement rate </a:t>
          </a:r>
          <a:r>
            <a:rPr lang="en-US" sz="1200" b="1">
              <a:solidFill>
                <a:schemeClr val="dk1"/>
              </a:solidFill>
              <a:latin typeface="+mn-lt"/>
              <a:ea typeface="+mn-ea"/>
              <a:cs typeface="+mn-cs"/>
            </a:rPr>
            <a:t>(9.62%), </a:t>
          </a:r>
          <a:r>
            <a:rPr lang="en-US" sz="1200">
              <a:solidFill>
                <a:schemeClr val="dk1"/>
              </a:solidFill>
              <a:latin typeface="+mn-lt"/>
              <a:ea typeface="+mn-ea"/>
              <a:cs typeface="+mn-cs"/>
            </a:rPr>
            <a:t>especially on </a:t>
          </a:r>
          <a:r>
            <a:rPr lang="en-US" sz="1200" b="1">
              <a:solidFill>
                <a:schemeClr val="dk1"/>
              </a:solidFill>
              <a:latin typeface="+mn-lt"/>
              <a:ea typeface="+mn-ea"/>
              <a:cs typeface="+mn-cs"/>
            </a:rPr>
            <a:t>Twitter (9.64%) </a:t>
          </a:r>
          <a:r>
            <a:rPr lang="en-US" sz="1200">
              <a:solidFill>
                <a:schemeClr val="dk1"/>
              </a:solidFill>
              <a:latin typeface="+mn-lt"/>
              <a:ea typeface="+mn-ea"/>
              <a:cs typeface="+mn-cs"/>
            </a:rPr>
            <a:t>and </a:t>
          </a:r>
          <a:r>
            <a:rPr lang="en-US" sz="1200" b="1">
              <a:solidFill>
                <a:schemeClr val="dk1"/>
              </a:solidFill>
              <a:latin typeface="+mn-lt"/>
              <a:ea typeface="+mn-ea"/>
              <a:cs typeface="+mn-cs"/>
            </a:rPr>
            <a:t>Instagram (9.55%)</a:t>
          </a:r>
          <a:r>
            <a:rPr lang="en-US" sz="1200">
              <a:solidFill>
                <a:schemeClr val="dk1"/>
              </a:solidFill>
              <a:latin typeface="+mn-lt"/>
              <a:ea typeface="+mn-ea"/>
              <a:cs typeface="+mn-cs"/>
            </a:rPr>
            <a:t>. </a:t>
          </a:r>
          <a:r>
            <a:rPr lang="en-US" sz="1200" b="1">
              <a:solidFill>
                <a:schemeClr val="dk1"/>
              </a:solidFill>
              <a:latin typeface="+mn-lt"/>
              <a:ea typeface="+mn-ea"/>
              <a:cs typeface="+mn-cs"/>
            </a:rPr>
            <a:t>Text</a:t>
          </a:r>
          <a:r>
            <a:rPr lang="en-US" sz="1200">
              <a:solidFill>
                <a:schemeClr val="dk1"/>
              </a:solidFill>
              <a:latin typeface="+mn-lt"/>
              <a:ea typeface="+mn-ea"/>
              <a:cs typeface="+mn-cs"/>
            </a:rPr>
            <a:t> content performs moderately well across all platforms, with the highest engagement on </a:t>
          </a:r>
          <a:r>
            <a:rPr lang="en-US" sz="1200" b="1">
              <a:solidFill>
                <a:schemeClr val="dk1"/>
              </a:solidFill>
              <a:latin typeface="+mn-lt"/>
              <a:ea typeface="+mn-ea"/>
              <a:cs typeface="+mn-cs"/>
            </a:rPr>
            <a:t>Twitter (9.56%)</a:t>
          </a:r>
          <a:r>
            <a:rPr lang="en-US" sz="1200">
              <a:solidFill>
                <a:schemeClr val="dk1"/>
              </a:solidFill>
              <a:latin typeface="+mn-lt"/>
              <a:ea typeface="+mn-ea"/>
              <a:cs typeface="+mn-cs"/>
            </a:rPr>
            <a:t>. </a:t>
          </a:r>
          <a:r>
            <a:rPr lang="en-US" sz="1200" b="1">
              <a:solidFill>
                <a:schemeClr val="dk1"/>
              </a:solidFill>
              <a:latin typeface="+mn-lt"/>
              <a:ea typeface="+mn-ea"/>
              <a:cs typeface="+mn-cs"/>
            </a:rPr>
            <a:t>Reels</a:t>
          </a:r>
          <a:r>
            <a:rPr lang="en-US" sz="1200">
              <a:solidFill>
                <a:schemeClr val="dk1"/>
              </a:solidFill>
              <a:latin typeface="+mn-lt"/>
              <a:ea typeface="+mn-ea"/>
              <a:cs typeface="+mn-cs"/>
            </a:rPr>
            <a:t> are only posted on </a:t>
          </a:r>
          <a:r>
            <a:rPr lang="en-US" sz="1200" b="1">
              <a:solidFill>
                <a:schemeClr val="dk1"/>
              </a:solidFill>
              <a:latin typeface="+mn-lt"/>
              <a:ea typeface="+mn-ea"/>
              <a:cs typeface="+mn-cs"/>
            </a:rPr>
            <a:t>YouTube</a:t>
          </a:r>
          <a:r>
            <a:rPr lang="en-US" sz="1200">
              <a:solidFill>
                <a:schemeClr val="dk1"/>
              </a:solidFill>
              <a:latin typeface="+mn-lt"/>
              <a:ea typeface="+mn-ea"/>
              <a:cs typeface="+mn-cs"/>
            </a:rPr>
            <a:t> and have an engagement rate of </a:t>
          </a:r>
          <a:r>
            <a:rPr lang="en-US" sz="1200" b="1">
              <a:solidFill>
                <a:schemeClr val="dk1"/>
              </a:solidFill>
              <a:latin typeface="+mn-lt"/>
              <a:ea typeface="+mn-ea"/>
              <a:cs typeface="+mn-cs"/>
            </a:rPr>
            <a:t>9.01%</a:t>
          </a:r>
          <a:r>
            <a:rPr lang="en-US" sz="1200">
              <a:solidFill>
                <a:schemeClr val="dk1"/>
              </a:solidFill>
              <a:latin typeface="+mn-lt"/>
              <a:ea typeface="+mn-ea"/>
              <a:cs typeface="+mn-cs"/>
            </a:rPr>
            <a:t>. Overall, </a:t>
          </a:r>
          <a:r>
            <a:rPr lang="en-US" sz="1200" b="1">
              <a:solidFill>
                <a:schemeClr val="dk1"/>
              </a:solidFill>
              <a:latin typeface="+mn-lt"/>
              <a:ea typeface="+mn-ea"/>
              <a:cs typeface="+mn-cs"/>
            </a:rPr>
            <a:t>Twitter</a:t>
          </a:r>
          <a:r>
            <a:rPr lang="en-US" sz="1200">
              <a:solidFill>
                <a:schemeClr val="dk1"/>
              </a:solidFill>
              <a:latin typeface="+mn-lt"/>
              <a:ea typeface="+mn-ea"/>
              <a:cs typeface="+mn-cs"/>
            </a:rPr>
            <a:t> has the highest platform engagement </a:t>
          </a:r>
          <a:r>
            <a:rPr lang="en-US" sz="1200" b="1">
              <a:solidFill>
                <a:schemeClr val="dk1"/>
              </a:solidFill>
              <a:latin typeface="+mn-lt"/>
              <a:ea typeface="+mn-ea"/>
              <a:cs typeface="+mn-cs"/>
            </a:rPr>
            <a:t>(9.60%), </a:t>
          </a:r>
          <a:r>
            <a:rPr lang="en-US" sz="1200">
              <a:solidFill>
                <a:schemeClr val="dk1"/>
              </a:solidFill>
              <a:latin typeface="+mn-lt"/>
              <a:ea typeface="+mn-ea"/>
              <a:cs typeface="+mn-cs"/>
            </a:rPr>
            <a:t>followed by </a:t>
          </a:r>
          <a:r>
            <a:rPr lang="en-US" sz="1200" b="1">
              <a:solidFill>
                <a:schemeClr val="dk1"/>
              </a:solidFill>
              <a:latin typeface="+mn-lt"/>
              <a:ea typeface="+mn-ea"/>
              <a:cs typeface="+mn-cs"/>
            </a:rPr>
            <a:t>Instagram (9.08%)</a:t>
          </a:r>
          <a:r>
            <a:rPr lang="en-US" sz="1200">
              <a:solidFill>
                <a:schemeClr val="dk1"/>
              </a:solidFill>
              <a:latin typeface="+mn-lt"/>
              <a:ea typeface="+mn-ea"/>
              <a:cs typeface="+mn-cs"/>
            </a:rPr>
            <a:t>, while </a:t>
          </a:r>
          <a:r>
            <a:rPr lang="en-US" sz="1200" b="1">
              <a:solidFill>
                <a:schemeClr val="dk1"/>
              </a:solidFill>
              <a:latin typeface="+mn-lt"/>
              <a:ea typeface="+mn-ea"/>
              <a:cs typeface="+mn-cs"/>
            </a:rPr>
            <a:t>YouTube</a:t>
          </a:r>
          <a:r>
            <a:rPr lang="en-US" sz="1200">
              <a:solidFill>
                <a:schemeClr val="dk1"/>
              </a:solidFill>
              <a:latin typeface="+mn-lt"/>
              <a:ea typeface="+mn-ea"/>
              <a:cs typeface="+mn-cs"/>
            </a:rPr>
            <a:t> has the lowest </a:t>
          </a:r>
          <a:r>
            <a:rPr lang="en-US" sz="1200" b="1">
              <a:solidFill>
                <a:schemeClr val="dk1"/>
              </a:solidFill>
              <a:latin typeface="+mn-lt"/>
              <a:ea typeface="+mn-ea"/>
              <a:cs typeface="+mn-cs"/>
            </a:rPr>
            <a:t>(8.81%).</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186467</xdr:colOff>
      <xdr:row>95</xdr:row>
      <xdr:rowOff>70254</xdr:rowOff>
    </xdr:from>
    <xdr:to>
      <xdr:col>8</xdr:col>
      <xdr:colOff>235856</xdr:colOff>
      <xdr:row>110</xdr:row>
      <xdr:rowOff>61786</xdr:rowOff>
    </xdr:to>
    <xdr:graphicFrame macro="">
      <xdr:nvGraphicFramePr>
        <xdr:cNvPr id="3" name="Chart 2">
          <a:extLst>
            <a:ext uri="{FF2B5EF4-FFF2-40B4-BE49-F238E27FC236}">
              <a16:creationId xmlns:a16="http://schemas.microsoft.com/office/drawing/2014/main" id="{FD116E72-67F6-7460-0836-0269491FE8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105</xdr:row>
      <xdr:rowOff>1</xdr:rowOff>
    </xdr:from>
    <xdr:to>
      <xdr:col>3</xdr:col>
      <xdr:colOff>1650999</xdr:colOff>
      <xdr:row>108</xdr:row>
      <xdr:rowOff>70556</xdr:rowOff>
    </xdr:to>
    <xdr:sp macro="" textlink="">
      <xdr:nvSpPr>
        <xdr:cNvPr id="4" name="TextBox 3">
          <a:extLst>
            <a:ext uri="{FF2B5EF4-FFF2-40B4-BE49-F238E27FC236}">
              <a16:creationId xmlns:a16="http://schemas.microsoft.com/office/drawing/2014/main" id="{D21109C4-6224-ACDF-F820-A743885174B4}"/>
            </a:ext>
          </a:extLst>
        </xdr:cNvPr>
        <xdr:cNvSpPr txBox="1"/>
      </xdr:nvSpPr>
      <xdr:spPr>
        <a:xfrm>
          <a:off x="0" y="11557001"/>
          <a:ext cx="5750277" cy="620888"/>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Final Insight:</a:t>
          </a:r>
          <a:r>
            <a:rPr lang="en-US"/>
            <a:t> </a:t>
          </a:r>
          <a:r>
            <a:rPr lang="en-US" sz="1100"/>
            <a:t>The SummerBeats campaign was a hit, gaining an impressive </a:t>
          </a:r>
          <a:r>
            <a:rPr lang="en-US" sz="1100" b="1"/>
            <a:t>13,558</a:t>
          </a:r>
          <a:r>
            <a:rPr lang="en-US" sz="1100"/>
            <a:t> new followers, which is more than any of the other campaigns.</a:t>
          </a:r>
        </a:p>
      </xdr:txBody>
    </xdr:sp>
    <xdr:clientData/>
  </xdr:twoCellAnchor>
  <xdr:twoCellAnchor>
    <xdr:from>
      <xdr:col>6</xdr:col>
      <xdr:colOff>93988</xdr:colOff>
      <xdr:row>39</xdr:row>
      <xdr:rowOff>71510</xdr:rowOff>
    </xdr:from>
    <xdr:to>
      <xdr:col>9</xdr:col>
      <xdr:colOff>517322</xdr:colOff>
      <xdr:row>56</xdr:row>
      <xdr:rowOff>39057</xdr:rowOff>
    </xdr:to>
    <xdr:graphicFrame macro="">
      <xdr:nvGraphicFramePr>
        <xdr:cNvPr id="5" name="Chart 4">
          <a:extLst>
            <a:ext uri="{FF2B5EF4-FFF2-40B4-BE49-F238E27FC236}">
              <a16:creationId xmlns:a16="http://schemas.microsoft.com/office/drawing/2014/main" id="{CD2F9E49-036E-AEC1-B605-A10F1DF54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20410</xdr:colOff>
      <xdr:row>46</xdr:row>
      <xdr:rowOff>147915</xdr:rowOff>
    </xdr:from>
    <xdr:to>
      <xdr:col>5</xdr:col>
      <xdr:colOff>156482</xdr:colOff>
      <xdr:row>52</xdr:row>
      <xdr:rowOff>115661</xdr:rowOff>
    </xdr:to>
    <xdr:sp macro="" textlink="">
      <xdr:nvSpPr>
        <xdr:cNvPr id="6" name="TextBox 5">
          <a:extLst>
            <a:ext uri="{FF2B5EF4-FFF2-40B4-BE49-F238E27FC236}">
              <a16:creationId xmlns:a16="http://schemas.microsoft.com/office/drawing/2014/main" id="{02EF6FF0-8FD6-8CC2-A6BE-E55E9CC9319A}"/>
            </a:ext>
          </a:extLst>
        </xdr:cNvPr>
        <xdr:cNvSpPr txBox="1"/>
      </xdr:nvSpPr>
      <xdr:spPr>
        <a:xfrm>
          <a:off x="20410" y="9897433"/>
          <a:ext cx="5619751" cy="1069924"/>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Final Insight:</a:t>
          </a:r>
        </a:p>
        <a:p>
          <a:r>
            <a:rPr lang="en-US" sz="1100">
              <a:solidFill>
                <a:schemeClr val="dk1"/>
              </a:solidFill>
              <a:effectLst/>
              <a:latin typeface="+mn-lt"/>
              <a:ea typeface="+mn-ea"/>
              <a:cs typeface="+mn-cs"/>
            </a:rPr>
            <a:t>• </a:t>
          </a:r>
          <a:r>
            <a:rPr lang="en-US" b="1"/>
            <a:t>Wrapped2024</a:t>
          </a:r>
          <a:r>
            <a:rPr lang="en-US"/>
            <a:t>  has highest</a:t>
          </a:r>
          <a:r>
            <a:rPr lang="en-US" baseline="0"/>
            <a:t> uplift</a:t>
          </a:r>
          <a:r>
            <a:rPr lang="en-US"/>
            <a:t> (</a:t>
          </a:r>
          <a:r>
            <a:rPr lang="en-US" b="1"/>
            <a:t>119.56%</a:t>
          </a:r>
          <a:r>
            <a:rPr lang="en-US"/>
            <a:t>) — extremely successful campaign.</a:t>
          </a:r>
        </a:p>
        <a:p>
          <a:r>
            <a:rPr lang="en-US" sz="1100">
              <a:solidFill>
                <a:schemeClr val="dk1"/>
              </a:solidFill>
              <a:effectLst/>
              <a:latin typeface="+mn-lt"/>
              <a:ea typeface="+mn-ea"/>
              <a:cs typeface="+mn-cs"/>
            </a:rPr>
            <a:t>• </a:t>
          </a:r>
          <a:r>
            <a:rPr lang="en-US" b="1"/>
            <a:t>IndieWave</a:t>
          </a:r>
          <a:r>
            <a:rPr lang="en-US"/>
            <a:t> also has strong positive uplift (</a:t>
          </a:r>
          <a:r>
            <a:rPr lang="en-US" b="1"/>
            <a:t>27.40%</a:t>
          </a:r>
          <a:r>
            <a:rPr lang="en-US"/>
            <a:t>).</a:t>
          </a:r>
        </a:p>
        <a:p>
          <a:r>
            <a:rPr lang="en-US" sz="1100">
              <a:solidFill>
                <a:schemeClr val="dk1"/>
              </a:solidFill>
              <a:effectLst/>
              <a:latin typeface="+mn-lt"/>
              <a:ea typeface="+mn-ea"/>
              <a:cs typeface="+mn-cs"/>
            </a:rPr>
            <a:t>• </a:t>
          </a:r>
          <a:r>
            <a:rPr lang="en-US" b="1"/>
            <a:t>ChillVibes</a:t>
          </a:r>
          <a:r>
            <a:rPr lang="en-US"/>
            <a:t> has moderate uplift (</a:t>
          </a:r>
          <a:r>
            <a:rPr lang="en-US" b="1"/>
            <a:t>8.60%</a:t>
          </a:r>
          <a:r>
            <a:rPr lang="en-US"/>
            <a:t>) — stable improvement.</a:t>
          </a:r>
        </a:p>
        <a:p>
          <a:r>
            <a:rPr lang="en-US" sz="1100">
              <a:solidFill>
                <a:schemeClr val="dk1"/>
              </a:solidFill>
              <a:effectLst/>
              <a:latin typeface="+mn-lt"/>
              <a:ea typeface="+mn-ea"/>
              <a:cs typeface="+mn-cs"/>
            </a:rPr>
            <a:t>• </a:t>
          </a:r>
          <a:r>
            <a:rPr lang="en-US" b="1"/>
            <a:t>SummerBeats</a:t>
          </a:r>
          <a:r>
            <a:rPr lang="en-US"/>
            <a:t> has negative uplift (</a:t>
          </a:r>
          <a:r>
            <a:rPr lang="en-US" b="1"/>
            <a:t>-14.94%</a:t>
          </a:r>
          <a:r>
            <a:rPr lang="en-US"/>
            <a:t>) — campaign performance decline.</a:t>
          </a:r>
        </a:p>
        <a:p>
          <a:endParaRPr lang="en-US" sz="1100"/>
        </a:p>
      </xdr:txBody>
    </xdr:sp>
    <xdr:clientData/>
  </xdr:twoCellAnchor>
  <xdr:twoCellAnchor>
    <xdr:from>
      <xdr:col>0</xdr:col>
      <xdr:colOff>27215</xdr:colOff>
      <xdr:row>68</xdr:row>
      <xdr:rowOff>169409</xdr:rowOff>
    </xdr:from>
    <xdr:to>
      <xdr:col>4</xdr:col>
      <xdr:colOff>510269</xdr:colOff>
      <xdr:row>83</xdr:row>
      <xdr:rowOff>157163</xdr:rowOff>
    </xdr:to>
    <xdr:graphicFrame macro="">
      <xdr:nvGraphicFramePr>
        <xdr:cNvPr id="7" name="Chart 6">
          <a:extLst>
            <a:ext uri="{FF2B5EF4-FFF2-40B4-BE49-F238E27FC236}">
              <a16:creationId xmlns:a16="http://schemas.microsoft.com/office/drawing/2014/main" id="{4F89E9C3-07C6-9140-8A9C-27BC49FFA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870859</xdr:colOff>
      <xdr:row>68</xdr:row>
      <xdr:rowOff>135392</xdr:rowOff>
    </xdr:from>
    <xdr:to>
      <xdr:col>8</xdr:col>
      <xdr:colOff>346982</xdr:colOff>
      <xdr:row>83</xdr:row>
      <xdr:rowOff>142874</xdr:rowOff>
    </xdr:to>
    <xdr:graphicFrame macro="">
      <xdr:nvGraphicFramePr>
        <xdr:cNvPr id="11" name="Chart 10">
          <a:extLst>
            <a:ext uri="{FF2B5EF4-FFF2-40B4-BE49-F238E27FC236}">
              <a16:creationId xmlns:a16="http://schemas.microsoft.com/office/drawing/2014/main" id="{2EDBB515-9D38-05DE-3DA6-1A7878D5D7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54428</xdr:colOff>
      <xdr:row>84</xdr:row>
      <xdr:rowOff>27212</xdr:rowOff>
    </xdr:from>
    <xdr:to>
      <xdr:col>8</xdr:col>
      <xdr:colOff>387803</xdr:colOff>
      <xdr:row>90</xdr:row>
      <xdr:rowOff>108857</xdr:rowOff>
    </xdr:to>
    <xdr:sp macro="" textlink="">
      <xdr:nvSpPr>
        <xdr:cNvPr id="12" name="TextBox 11">
          <a:extLst>
            <a:ext uri="{FF2B5EF4-FFF2-40B4-BE49-F238E27FC236}">
              <a16:creationId xmlns:a16="http://schemas.microsoft.com/office/drawing/2014/main" id="{E296E2BD-F103-10B8-BBB8-4CC286FC423D}"/>
            </a:ext>
          </a:extLst>
        </xdr:cNvPr>
        <xdr:cNvSpPr txBox="1"/>
      </xdr:nvSpPr>
      <xdr:spPr>
        <a:xfrm>
          <a:off x="54428" y="15518944"/>
          <a:ext cx="10164536" cy="1183824"/>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chemeClr val="dk1"/>
              </a:solidFill>
              <a:latin typeface="+mn-lt"/>
              <a:ea typeface="+mn-ea"/>
              <a:cs typeface="+mn-cs"/>
            </a:rPr>
            <a:t>Campaign Effectiveness Insights:</a:t>
          </a:r>
        </a:p>
        <a:p>
          <a:pPr marL="0" indent="0"/>
          <a:endParaRPr lang="en-US" sz="1200" b="1">
            <a:solidFill>
              <a:schemeClr val="dk1"/>
            </a:solidFill>
            <a:latin typeface="+mn-lt"/>
            <a:ea typeface="+mn-ea"/>
            <a:cs typeface="+mn-cs"/>
          </a:endParaRPr>
        </a:p>
        <a:p>
          <a:r>
            <a:rPr lang="en-US" sz="1100">
              <a:solidFill>
                <a:schemeClr val="dk1"/>
              </a:solidFill>
              <a:effectLst/>
              <a:latin typeface="+mn-lt"/>
              <a:ea typeface="+mn-ea"/>
              <a:cs typeface="+mn-cs"/>
            </a:rPr>
            <a:t>• </a:t>
          </a:r>
          <a:r>
            <a:rPr lang="en-US" b="1"/>
            <a:t>ChillVibes</a:t>
          </a:r>
          <a:r>
            <a:rPr lang="en-US"/>
            <a:t> achieved the highest ROI (21.15%), indicating strong audience engagement relative to its ad spend. It was the most cost-efficient campaign.</a:t>
          </a:r>
        </a:p>
        <a:p>
          <a:r>
            <a:rPr lang="en-US" sz="1100">
              <a:solidFill>
                <a:schemeClr val="dk1"/>
              </a:solidFill>
              <a:effectLst/>
              <a:latin typeface="+mn-lt"/>
              <a:ea typeface="+mn-ea"/>
              <a:cs typeface="+mn-cs"/>
            </a:rPr>
            <a:t>• </a:t>
          </a:r>
          <a:r>
            <a:rPr lang="en-US" b="1"/>
            <a:t>IndieWave</a:t>
          </a:r>
          <a:r>
            <a:rPr lang="en-US"/>
            <a:t> delivered moderate performance with an ROI of 11.55%, showing decent engagement but higher cost compared to ChillVibes.</a:t>
          </a:r>
        </a:p>
        <a:p>
          <a:r>
            <a:rPr lang="en-US" sz="1100">
              <a:solidFill>
                <a:schemeClr val="dk1"/>
              </a:solidFill>
              <a:effectLst/>
              <a:latin typeface="+mn-lt"/>
              <a:ea typeface="+mn-ea"/>
              <a:cs typeface="+mn-cs"/>
            </a:rPr>
            <a:t>• </a:t>
          </a:r>
          <a:r>
            <a:rPr lang="en-US" b="1"/>
            <a:t>SummerBeats</a:t>
          </a:r>
          <a:r>
            <a:rPr lang="en-US"/>
            <a:t> had the lowest ROI (3.02%), suggesting inefficient budget utilization and weaker audience response.</a:t>
          </a:r>
        </a:p>
        <a:p>
          <a:r>
            <a:rPr lang="en-US" sz="1100">
              <a:solidFill>
                <a:schemeClr val="dk1"/>
              </a:solidFill>
              <a:effectLst/>
              <a:latin typeface="+mn-lt"/>
              <a:ea typeface="+mn-ea"/>
              <a:cs typeface="+mn-cs"/>
            </a:rPr>
            <a:t>• </a:t>
          </a:r>
          <a:r>
            <a:rPr lang="en-US" b="1"/>
            <a:t>Wrapped2024</a:t>
          </a:r>
          <a:r>
            <a:rPr lang="en-US"/>
            <a:t> </a:t>
          </a:r>
          <a:r>
            <a:rPr lang="en-US" sz="1100">
              <a:solidFill>
                <a:schemeClr val="dk1"/>
              </a:solidFill>
              <a:latin typeface="+mn-lt"/>
              <a:ea typeface="+mn-ea"/>
              <a:cs typeface="+mn-cs"/>
            </a:rPr>
            <a:t>performed slightly better than SummerBeats but remained low in ROI (4.02%), indicating limited engagement impact.</a:t>
          </a:r>
        </a:p>
        <a:p>
          <a:endParaRPr lang="en-US" sz="1100"/>
        </a:p>
      </xdr:txBody>
    </xdr:sp>
    <xdr:clientData/>
  </xdr:twoCellAnchor>
  <xdr:twoCellAnchor>
    <xdr:from>
      <xdr:col>0</xdr:col>
      <xdr:colOff>156482</xdr:colOff>
      <xdr:row>6</xdr:row>
      <xdr:rowOff>87765</xdr:rowOff>
    </xdr:from>
    <xdr:to>
      <xdr:col>4</xdr:col>
      <xdr:colOff>959303</xdr:colOff>
      <xdr:row>23</xdr:row>
      <xdr:rowOff>54428</xdr:rowOff>
    </xdr:to>
    <xdr:graphicFrame macro="">
      <xdr:nvGraphicFramePr>
        <xdr:cNvPr id="13" name="Chart 12">
          <a:extLst>
            <a:ext uri="{FF2B5EF4-FFF2-40B4-BE49-F238E27FC236}">
              <a16:creationId xmlns:a16="http://schemas.microsoft.com/office/drawing/2014/main" id="{1A7CB9E9-6831-7FF6-4EF8-F94491625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1360714</xdr:colOff>
      <xdr:row>6</xdr:row>
      <xdr:rowOff>80963</xdr:rowOff>
    </xdr:from>
    <xdr:to>
      <xdr:col>8</xdr:col>
      <xdr:colOff>1115785</xdr:colOff>
      <xdr:row>23</xdr:row>
      <xdr:rowOff>54428</xdr:rowOff>
    </xdr:to>
    <xdr:graphicFrame macro="">
      <xdr:nvGraphicFramePr>
        <xdr:cNvPr id="14" name="Chart 13">
          <a:extLst>
            <a:ext uri="{FF2B5EF4-FFF2-40B4-BE49-F238E27FC236}">
              <a16:creationId xmlns:a16="http://schemas.microsoft.com/office/drawing/2014/main" id="{7AAFC444-00D4-29C7-D670-3D00DAB830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176893</xdr:colOff>
      <xdr:row>23</xdr:row>
      <xdr:rowOff>176894</xdr:rowOff>
    </xdr:from>
    <xdr:to>
      <xdr:col>7</xdr:col>
      <xdr:colOff>163286</xdr:colOff>
      <xdr:row>33</xdr:row>
      <xdr:rowOff>20411</xdr:rowOff>
    </xdr:to>
    <xdr:sp macro="" textlink="">
      <xdr:nvSpPr>
        <xdr:cNvPr id="15" name="TextBox 14">
          <a:extLst>
            <a:ext uri="{FF2B5EF4-FFF2-40B4-BE49-F238E27FC236}">
              <a16:creationId xmlns:a16="http://schemas.microsoft.com/office/drawing/2014/main" id="{2200642E-2135-E296-417D-8F7D97599738}"/>
            </a:ext>
          </a:extLst>
        </xdr:cNvPr>
        <xdr:cNvSpPr txBox="1"/>
      </xdr:nvSpPr>
      <xdr:spPr>
        <a:xfrm>
          <a:off x="176893" y="4401912"/>
          <a:ext cx="8150679" cy="1680481"/>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300" b="1">
              <a:solidFill>
                <a:schemeClr val="dk1"/>
              </a:solidFill>
              <a:latin typeface="+mn-lt"/>
              <a:ea typeface="+mn-ea"/>
              <a:cs typeface="+mn-cs"/>
            </a:rPr>
            <a:t>Final Insight:</a:t>
          </a:r>
        </a:p>
        <a:p>
          <a:endParaRPr lang="en-US" sz="1100"/>
        </a:p>
        <a:p>
          <a:r>
            <a:rPr lang="en-US" sz="1100">
              <a:solidFill>
                <a:schemeClr val="dk1"/>
              </a:solidFill>
              <a:effectLst/>
              <a:latin typeface="+mn-lt"/>
              <a:ea typeface="+mn-ea"/>
              <a:cs typeface="+mn-cs"/>
            </a:rPr>
            <a:t>• </a:t>
          </a:r>
          <a:r>
            <a:rPr lang="en-US" b="1"/>
            <a:t>ChillVibes</a:t>
          </a:r>
          <a:r>
            <a:rPr lang="en-US"/>
            <a:t> generated the </a:t>
          </a:r>
          <a:r>
            <a:rPr lang="en-US" b="1"/>
            <a:t>highest</a:t>
          </a:r>
          <a:r>
            <a:rPr lang="en-US"/>
            <a:t> total impressions </a:t>
          </a:r>
          <a:r>
            <a:rPr lang="en-US" b="1"/>
            <a:t>(378,559) </a:t>
          </a:r>
          <a:r>
            <a:rPr lang="en-US"/>
            <a:t>and strong total engagement, indicating strong audience reach during the campaign period.</a:t>
          </a:r>
        </a:p>
        <a:p>
          <a:r>
            <a:rPr lang="en-US" sz="1100">
              <a:solidFill>
                <a:schemeClr val="dk1"/>
              </a:solidFill>
              <a:effectLst/>
              <a:latin typeface="+mn-lt"/>
              <a:ea typeface="+mn-ea"/>
              <a:cs typeface="+mn-cs"/>
            </a:rPr>
            <a:t>• </a:t>
          </a:r>
          <a:r>
            <a:rPr lang="en-US" b="1"/>
            <a:t>IndieWave</a:t>
          </a:r>
          <a:r>
            <a:rPr lang="en-US"/>
            <a:t> showed </a:t>
          </a:r>
          <a:r>
            <a:rPr lang="en-US" b="1"/>
            <a:t>strong average</a:t>
          </a:r>
          <a:r>
            <a:rPr lang="en-US"/>
            <a:t> performance per post, particularly in average likes </a:t>
          </a:r>
          <a:r>
            <a:rPr lang="en-US" b="1"/>
            <a:t>(3,948.67) </a:t>
          </a:r>
          <a:r>
            <a:rPr lang="en-US"/>
            <a:t>and average clicks </a:t>
          </a:r>
          <a:r>
            <a:rPr lang="en-US" b="1"/>
            <a:t>(228.33), </a:t>
          </a:r>
          <a:r>
            <a:rPr lang="en-US"/>
            <a:t>suggesting consistent audience interaction.</a:t>
          </a:r>
        </a:p>
        <a:p>
          <a:r>
            <a:rPr lang="en-US" sz="1100">
              <a:solidFill>
                <a:schemeClr val="dk1"/>
              </a:solidFill>
              <a:effectLst/>
              <a:latin typeface="+mn-lt"/>
              <a:ea typeface="+mn-ea"/>
              <a:cs typeface="+mn-cs"/>
            </a:rPr>
            <a:t>• </a:t>
          </a:r>
          <a:r>
            <a:rPr lang="en-US" b="1"/>
            <a:t>SummerBeats</a:t>
          </a:r>
          <a:r>
            <a:rPr lang="en-US"/>
            <a:t> had the </a:t>
          </a:r>
          <a:r>
            <a:rPr lang="en-US" b="1"/>
            <a:t>lowest</a:t>
          </a:r>
          <a:r>
            <a:rPr lang="en-US"/>
            <a:t> </a:t>
          </a:r>
          <a:r>
            <a:rPr lang="en-US" b="1"/>
            <a:t>total clicks (300)</a:t>
          </a:r>
          <a:r>
            <a:rPr lang="en-US"/>
            <a:t>, indicating limited audience response despite moderate impressions.</a:t>
          </a:r>
        </a:p>
        <a:p>
          <a:r>
            <a:rPr lang="en-US" sz="1100">
              <a:solidFill>
                <a:schemeClr val="dk1"/>
              </a:solidFill>
              <a:effectLst/>
              <a:latin typeface="+mn-lt"/>
              <a:ea typeface="+mn-ea"/>
              <a:cs typeface="+mn-cs"/>
            </a:rPr>
            <a:t>• </a:t>
          </a:r>
          <a:r>
            <a:rPr lang="en-US" b="1"/>
            <a:t>Wrapped2024</a:t>
          </a:r>
          <a:r>
            <a:rPr lang="en-US"/>
            <a:t> </a:t>
          </a:r>
          <a:r>
            <a:rPr lang="en-US" sz="1100">
              <a:solidFill>
                <a:schemeClr val="dk1"/>
              </a:solidFill>
              <a:latin typeface="+mn-lt"/>
              <a:ea typeface="+mn-ea"/>
              <a:cs typeface="+mn-cs"/>
            </a:rPr>
            <a:t>recorded the </a:t>
          </a:r>
          <a:r>
            <a:rPr lang="en-US" sz="1100" b="1">
              <a:solidFill>
                <a:schemeClr val="dk1"/>
              </a:solidFill>
              <a:latin typeface="+mn-lt"/>
              <a:ea typeface="+mn-ea"/>
              <a:cs typeface="+mn-cs"/>
            </a:rPr>
            <a:t>highest average impressions (51,758.50), </a:t>
          </a:r>
          <a:r>
            <a:rPr lang="en-US" sz="1100">
              <a:solidFill>
                <a:schemeClr val="dk1"/>
              </a:solidFill>
              <a:latin typeface="+mn-lt"/>
              <a:ea typeface="+mn-ea"/>
              <a:cs typeface="+mn-cs"/>
            </a:rPr>
            <a:t>showing strong visibility, but this did not fully translate into clicks.</a:t>
          </a:r>
        </a:p>
        <a:p>
          <a:r>
            <a:rPr lang="en-US" sz="1100">
              <a:solidFill>
                <a:schemeClr val="dk1"/>
              </a:solidFill>
              <a:effectLst/>
              <a:latin typeface="+mn-lt"/>
              <a:ea typeface="+mn-ea"/>
              <a:cs typeface="+mn-cs"/>
            </a:rPr>
            <a:t>• </a:t>
          </a:r>
          <a:r>
            <a:rPr lang="en-US" sz="1100">
              <a:solidFill>
                <a:schemeClr val="dk1"/>
              </a:solidFill>
              <a:latin typeface="+mn-lt"/>
              <a:ea typeface="+mn-ea"/>
              <a:cs typeface="+mn-cs"/>
            </a:rPr>
            <a:t>Overall, ChillVibes performed best in terms of total reach, while IndieWave showed better per-post engagement efficiency.</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160020</xdr:colOff>
      <xdr:row>0</xdr:row>
      <xdr:rowOff>167640</xdr:rowOff>
    </xdr:from>
    <xdr:to>
      <xdr:col>12</xdr:col>
      <xdr:colOff>579120</xdr:colOff>
      <xdr:row>19</xdr:row>
      <xdr:rowOff>106680</xdr:rowOff>
    </xdr:to>
    <xdr:graphicFrame macro="">
      <xdr:nvGraphicFramePr>
        <xdr:cNvPr id="2" name="Chart 1">
          <a:extLst>
            <a:ext uri="{FF2B5EF4-FFF2-40B4-BE49-F238E27FC236}">
              <a16:creationId xmlns:a16="http://schemas.microsoft.com/office/drawing/2014/main" id="{2B66D1D0-D68D-7CA7-2E35-561AAD1092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175260</xdr:colOff>
      <xdr:row>77</xdr:row>
      <xdr:rowOff>0</xdr:rowOff>
    </xdr:from>
    <xdr:to>
      <xdr:col>12</xdr:col>
      <xdr:colOff>266700</xdr:colOff>
      <xdr:row>92</xdr:row>
      <xdr:rowOff>83820</xdr:rowOff>
    </xdr:to>
    <xdr:graphicFrame macro="">
      <xdr:nvGraphicFramePr>
        <xdr:cNvPr id="4" name="Chart 3">
          <a:extLst>
            <a:ext uri="{FF2B5EF4-FFF2-40B4-BE49-F238E27FC236}">
              <a16:creationId xmlns:a16="http://schemas.microsoft.com/office/drawing/2014/main" id="{1575CD78-2237-5516-65C5-484CBE5FC6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190500</xdr:colOff>
      <xdr:row>92</xdr:row>
      <xdr:rowOff>175260</xdr:rowOff>
    </xdr:from>
    <xdr:to>
      <xdr:col>10</xdr:col>
      <xdr:colOff>617220</xdr:colOff>
      <xdr:row>99</xdr:row>
      <xdr:rowOff>15240</xdr:rowOff>
    </xdr:to>
    <xdr:sp macro="" textlink="">
      <xdr:nvSpPr>
        <xdr:cNvPr id="6" name="TextBox 5">
          <a:extLst>
            <a:ext uri="{FF2B5EF4-FFF2-40B4-BE49-F238E27FC236}">
              <a16:creationId xmlns:a16="http://schemas.microsoft.com/office/drawing/2014/main" id="{CBE71C62-2684-ADAB-75B9-AFB4DD7B0E99}"/>
            </a:ext>
          </a:extLst>
        </xdr:cNvPr>
        <xdr:cNvSpPr txBox="1"/>
      </xdr:nvSpPr>
      <xdr:spPr>
        <a:xfrm>
          <a:off x="4411980" y="17015460"/>
          <a:ext cx="8046720" cy="112014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Final Conclusion:</a:t>
          </a:r>
        </a:p>
        <a:p>
          <a:r>
            <a:rPr lang="en-US" sz="1200"/>
            <a:t>The </a:t>
          </a:r>
          <a:r>
            <a:rPr lang="en-US" sz="1200" b="1"/>
            <a:t>3-week moving average</a:t>
          </a:r>
          <a:r>
            <a:rPr lang="en-US" sz="1200"/>
            <a:t> shows that </a:t>
          </a:r>
          <a:r>
            <a:rPr lang="en-US" sz="1200" b="1"/>
            <a:t>weekly follower growth</a:t>
          </a:r>
          <a:r>
            <a:rPr lang="en-US" sz="1200"/>
            <a:t> changes </a:t>
          </a:r>
          <a:r>
            <a:rPr lang="en-US" sz="1200" b="1"/>
            <a:t>up and down</a:t>
          </a:r>
          <a:r>
            <a:rPr lang="en-US" sz="1200"/>
            <a:t>, but overall 3-week moving average data stays </a:t>
          </a:r>
          <a:r>
            <a:rPr lang="en-US" sz="1200" b="1"/>
            <a:t>stable</a:t>
          </a:r>
          <a:r>
            <a:rPr lang="en-US" sz="1200"/>
            <a:t> </a:t>
          </a:r>
          <a:r>
            <a:rPr lang="en-US" sz="1200" b="1"/>
            <a:t>between 2,000–2,800 </a:t>
          </a:r>
          <a:r>
            <a:rPr lang="en-US" sz="1200"/>
            <a:t>followers per</a:t>
          </a:r>
          <a:r>
            <a:rPr lang="en-US" sz="1200" baseline="0"/>
            <a:t> </a:t>
          </a:r>
          <a:r>
            <a:rPr lang="en-US" sz="1200"/>
            <a:t>week. Strong growth was seen </a:t>
          </a:r>
          <a:r>
            <a:rPr lang="en-US" sz="1200" b="1"/>
            <a:t>in November 2024, April 2025, and May 2025</a:t>
          </a:r>
          <a:r>
            <a:rPr lang="en-US" sz="1200"/>
            <a:t>, while some slow periods occurred </a:t>
          </a:r>
          <a:r>
            <a:rPr lang="en-US" sz="1200" b="1"/>
            <a:t>in early and mid-2025</a:t>
          </a:r>
          <a:r>
            <a:rPr lang="en-US" sz="1200"/>
            <a:t>. Overall, the trend shows steady follower growth with moderate fluctuations.</a:t>
          </a:r>
        </a:p>
      </xdr:txBody>
    </xdr:sp>
    <xdr:clientData/>
  </xdr:twoCellAnchor>
  <xdr:twoCellAnchor>
    <xdr:from>
      <xdr:col>5</xdr:col>
      <xdr:colOff>76200</xdr:colOff>
      <xdr:row>167</xdr:row>
      <xdr:rowOff>45720</xdr:rowOff>
    </xdr:from>
    <xdr:to>
      <xdr:col>12</xdr:col>
      <xdr:colOff>190500</xdr:colOff>
      <xdr:row>174</xdr:row>
      <xdr:rowOff>22860</xdr:rowOff>
    </xdr:to>
    <xdr:sp macro="" textlink="">
      <xdr:nvSpPr>
        <xdr:cNvPr id="7" name="TextBox 6">
          <a:extLst>
            <a:ext uri="{FF2B5EF4-FFF2-40B4-BE49-F238E27FC236}">
              <a16:creationId xmlns:a16="http://schemas.microsoft.com/office/drawing/2014/main" id="{72D888EE-C065-D971-CD75-115A32C898D4}"/>
            </a:ext>
          </a:extLst>
        </xdr:cNvPr>
        <xdr:cNvSpPr txBox="1"/>
      </xdr:nvSpPr>
      <xdr:spPr>
        <a:xfrm>
          <a:off x="7162800" y="30784800"/>
          <a:ext cx="6187440" cy="125730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Final Insight:</a:t>
          </a:r>
        </a:p>
        <a:p>
          <a:r>
            <a:rPr lang="en-US" sz="1200"/>
            <a:t>The correlation coefficient </a:t>
          </a:r>
          <a:r>
            <a:rPr lang="en-US" sz="1200" b="1"/>
            <a:t>(r = 0.10)</a:t>
          </a:r>
          <a:r>
            <a:rPr lang="en-US" sz="1200"/>
            <a:t> and </a:t>
          </a:r>
          <a:r>
            <a:rPr lang="en-US" sz="1200" b="1"/>
            <a:t>R²</a:t>
          </a:r>
          <a:r>
            <a:rPr lang="en-US" sz="1200"/>
            <a:t> value </a:t>
          </a:r>
          <a:r>
            <a:rPr lang="en-US" sz="1200" b="1"/>
            <a:t>(0.01)</a:t>
          </a:r>
          <a:r>
            <a:rPr lang="en-US" sz="1200"/>
            <a:t> indicate a very weak positive relationship between ad spend and follower growth. </a:t>
          </a:r>
          <a:r>
            <a:rPr lang="en-US" sz="1200" b="1"/>
            <a:t>Only</a:t>
          </a:r>
          <a:r>
            <a:rPr lang="en-US" sz="1200"/>
            <a:t> </a:t>
          </a:r>
          <a:r>
            <a:rPr lang="en-US" sz="1200" b="1"/>
            <a:t>1%</a:t>
          </a:r>
          <a:r>
            <a:rPr lang="en-US" sz="1200"/>
            <a:t> of the variation in follower growth is explained by </a:t>
          </a:r>
          <a:r>
            <a:rPr lang="en-US" sz="1200" b="1"/>
            <a:t>ad spend</a:t>
          </a:r>
          <a:r>
            <a:rPr lang="en-US" sz="1200"/>
            <a:t>, suggesting that advertising investment has minimal direct impact on follower acquisition. Other factors such as content strategy and engagement likely play a more significant role.</a:t>
          </a:r>
          <a:endParaRPr lang="en-US" sz="1200" b="1"/>
        </a:p>
      </xdr:txBody>
    </xdr:sp>
    <xdr:clientData/>
  </xdr:twoCellAnchor>
  <xdr:twoCellAnchor>
    <xdr:from>
      <xdr:col>5</xdr:col>
      <xdr:colOff>53340</xdr:colOff>
      <xdr:row>151</xdr:row>
      <xdr:rowOff>26670</xdr:rowOff>
    </xdr:from>
    <xdr:to>
      <xdr:col>12</xdr:col>
      <xdr:colOff>76200</xdr:colOff>
      <xdr:row>167</xdr:row>
      <xdr:rowOff>30480</xdr:rowOff>
    </xdr:to>
    <xdr:graphicFrame macro="">
      <xdr:nvGraphicFramePr>
        <xdr:cNvPr id="8" name="Chart 7">
          <a:extLst>
            <a:ext uri="{FF2B5EF4-FFF2-40B4-BE49-F238E27FC236}">
              <a16:creationId xmlns:a16="http://schemas.microsoft.com/office/drawing/2014/main" id="{E9F069AB-E47C-2952-2D07-822CC5F4A1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167640</xdr:colOff>
      <xdr:row>19</xdr:row>
      <xdr:rowOff>175260</xdr:rowOff>
    </xdr:from>
    <xdr:to>
      <xdr:col>6</xdr:col>
      <xdr:colOff>1203960</xdr:colOff>
      <xdr:row>26</xdr:row>
      <xdr:rowOff>68580</xdr:rowOff>
    </xdr:to>
    <xdr:sp macro="" textlink="">
      <xdr:nvSpPr>
        <xdr:cNvPr id="3" name="TextBox 2">
          <a:extLst>
            <a:ext uri="{FF2B5EF4-FFF2-40B4-BE49-F238E27FC236}">
              <a16:creationId xmlns:a16="http://schemas.microsoft.com/office/drawing/2014/main" id="{B51BEB98-99B2-D5AC-AB79-E58A510A1AB7}"/>
            </a:ext>
          </a:extLst>
        </xdr:cNvPr>
        <xdr:cNvSpPr txBox="1"/>
      </xdr:nvSpPr>
      <xdr:spPr>
        <a:xfrm>
          <a:off x="2880360" y="3665220"/>
          <a:ext cx="6873240" cy="117348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a:solidFill>
                <a:schemeClr val="dk1"/>
              </a:solidFill>
              <a:latin typeface="+mn-lt"/>
              <a:ea typeface="+mn-ea"/>
              <a:cs typeface="+mn-cs"/>
            </a:rPr>
            <a:t>Final Insight:</a:t>
          </a:r>
        </a:p>
        <a:p>
          <a:pPr marL="0" indent="0"/>
          <a:r>
            <a:rPr lang="en-US" sz="1200">
              <a:solidFill>
                <a:schemeClr val="dk1"/>
              </a:solidFill>
              <a:latin typeface="+mn-lt"/>
              <a:ea typeface="+mn-ea"/>
              <a:cs typeface="+mn-cs"/>
            </a:rPr>
            <a:t>The highest net follower growth was recorded on </a:t>
          </a:r>
          <a:r>
            <a:rPr lang="en-US" sz="1200" b="1">
              <a:solidFill>
                <a:schemeClr val="dk1"/>
              </a:solidFill>
              <a:latin typeface="+mn-lt"/>
              <a:ea typeface="+mn-ea"/>
              <a:cs typeface="+mn-cs"/>
            </a:rPr>
            <a:t>4th November 2024 </a:t>
          </a:r>
          <a:r>
            <a:rPr lang="en-US" sz="1200">
              <a:solidFill>
                <a:schemeClr val="dk1"/>
              </a:solidFill>
              <a:latin typeface="+mn-lt"/>
              <a:ea typeface="+mn-ea"/>
              <a:cs typeface="+mn-cs"/>
            </a:rPr>
            <a:t>with </a:t>
          </a:r>
          <a:r>
            <a:rPr lang="en-US" sz="1200" b="1">
              <a:solidFill>
                <a:schemeClr val="dk1"/>
              </a:solidFill>
              <a:latin typeface="+mn-lt"/>
              <a:ea typeface="+mn-ea"/>
              <a:cs typeface="+mn-cs"/>
            </a:rPr>
            <a:t>3,576 followers</a:t>
          </a:r>
          <a:r>
            <a:rPr lang="en-US" sz="1200">
              <a:solidFill>
                <a:schemeClr val="dk1"/>
              </a:solidFill>
              <a:latin typeface="+mn-lt"/>
              <a:ea typeface="+mn-ea"/>
              <a:cs typeface="+mn-cs"/>
            </a:rPr>
            <a:t>, followed closely by 19th May 2025. The data shows that follower growth fluctuates throughout the year, with some strong peak periods and some slower weeks. Overall, growth remains active but varies depending on engagement or campaign performance.</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PC" refreshedDate="46063.697010532407" createdVersion="8" refreshedVersion="8" minRefreshableVersion="3" recordCount="200" xr:uid="{C9CBE4E6-61EE-4EAF-B066-C27B52A02D5C}">
  <cacheSource type="worksheet">
    <worksheetSource ref="A1:G201" sheet="Engagement Summary"/>
  </cacheSource>
  <cacheFields count="7">
    <cacheField name="Week_Start_Date" numFmtId="164">
      <sharedItems containsSemiMixedTypes="0" containsNonDate="0" containsDate="1" containsString="0" minDate="2024-06-03T00:00:00" maxDate="2025-09-09T00:00:00"/>
    </cacheField>
    <cacheField name="Platform" numFmtId="49">
      <sharedItems count="3">
        <s v="Instagram"/>
        <s v="Twitter"/>
        <s v="YouTube"/>
      </sharedItems>
    </cacheField>
    <cacheField name="New_Followers" numFmtId="1">
      <sharedItems containsSemiMixedTypes="0" containsString="0" containsNumber="1" containsInteger="1" minValue="503" maxValue="1490"/>
    </cacheField>
    <cacheField name="Unfollows" numFmtId="1">
      <sharedItems containsSemiMixedTypes="0" containsString="0" containsNumber="1" containsInteger="1" minValue="50" maxValue="296"/>
    </cacheField>
    <cacheField name="Total_Followers" numFmtId="1">
      <sharedItems containsSemiMixedTypes="0" containsString="0" containsNumber="1" containsInteger="1" minValue="61445" maxValue="397607"/>
    </cacheField>
    <cacheField name="Engagement_Rate" numFmtId="2">
      <sharedItems containsSemiMixedTypes="0" containsString="0" containsNumber="1" minValue="3.08" maxValue="9.99"/>
    </cacheField>
    <cacheField name="Ad_Spend" numFmtId="1">
      <sharedItems containsSemiMixedTypes="0" containsString="0" containsNumber="1" containsInteger="1" minValue="5281" maxValue="2782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PC" refreshedDate="46063.968543171293" createdVersion="8" refreshedVersion="8" minRefreshableVersion="3" recordCount="200" xr:uid="{A61429ED-554E-4005-991C-CEA757ABB121}">
  <cacheSource type="worksheet">
    <worksheetSource ref="A1:I201" sheet="Engagement Summary"/>
  </cacheSource>
  <cacheFields count="9">
    <cacheField name="Week_Start_Date" numFmtId="164">
      <sharedItems containsSemiMixedTypes="0" containsNonDate="0" containsDate="1" containsString="0" minDate="2024-06-03T00:00:00" maxDate="2025-09-09T00:00:00" count="67">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sharedItems>
    </cacheField>
    <cacheField name="Platform" numFmtId="49">
      <sharedItems count="3">
        <s v="Instagram"/>
        <s v="Twitter"/>
        <s v="YouTube"/>
      </sharedItems>
    </cacheField>
    <cacheField name="New_Followers" numFmtId="1">
      <sharedItems containsSemiMixedTypes="0" containsString="0" containsNumber="1" containsInteger="1" minValue="503" maxValue="1490"/>
    </cacheField>
    <cacheField name="Unfollows" numFmtId="1">
      <sharedItems containsSemiMixedTypes="0" containsString="0" containsNumber="1" containsInteger="1" minValue="50" maxValue="296"/>
    </cacheField>
    <cacheField name="Total_Followers" numFmtId="1">
      <sharedItems containsSemiMixedTypes="0" containsString="0" containsNumber="1" containsInteger="1" minValue="61445" maxValue="397607"/>
    </cacheField>
    <cacheField name="Engagement_Rate" numFmtId="2">
      <sharedItems containsSemiMixedTypes="0" containsString="0" containsNumber="1" minValue="3.08" maxValue="9.99"/>
    </cacheField>
    <cacheField name="Ad_Spend" numFmtId="1">
      <sharedItems containsSemiMixedTypes="0" containsString="0" containsNumber="1" containsInteger="1" minValue="5281" maxValue="27829"/>
    </cacheField>
    <cacheField name="Net Follower Gain" numFmtId="1">
      <sharedItems containsSemiMixedTypes="0" containsString="0" containsNumber="1" containsInteger="1" minValue="250" maxValue="1397"/>
    </cacheField>
    <cacheField name="Growth Rate %" numFmtId="10">
      <sharedItems containsSemiMixedTypes="0" containsString="0" containsNumber="1" minValue="7.9729048800556194E-4" maxValue="1.7836234485988603E-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PC" refreshedDate="46069.723591435184" createdVersion="8" refreshedVersion="8" minRefreshableVersion="3" recordCount="300" xr:uid="{8A1C543B-3D2A-418B-8439-9DEE09D25659}">
  <cacheSource type="worksheet">
    <worksheetSource ref="A1:O301" sheet="Posts"/>
  </cacheSource>
  <cacheFields count="15">
    <cacheField name="Post ID" numFmtId="49">
      <sharedItems/>
    </cacheField>
    <cacheField name="Platform" numFmtId="49">
      <sharedItems count="3">
        <s v="Instagram"/>
        <s v="Twitter"/>
        <s v="YouTube"/>
      </sharedItems>
    </cacheField>
    <cacheField name="Date" numFmtId="164">
      <sharedItems containsSemiMixedTypes="0" containsNonDate="0" containsDate="1" containsString="0" minDate="2024-01-01T00:00:00" maxDate="2025-07-02T00:00:00"/>
    </cacheField>
    <cacheField name="Content Type" numFmtId="49">
      <sharedItems count="3">
        <s v="Text"/>
        <s v="Story"/>
        <s v="Reel"/>
      </sharedItems>
    </cacheField>
    <cacheField name="Post Text" numFmtId="49">
      <sharedItems/>
    </cacheField>
    <cacheField name="Likes" numFmtId="2">
      <sharedItems containsSemiMixedTypes="0" containsString="0" containsNumber="1" containsInteger="1" minValue="1010" maxValue="4995"/>
    </cacheField>
    <cacheField name="Shares" numFmtId="2">
      <sharedItems containsSemiMixedTypes="0" containsString="0" containsNumber="1" containsInteger="1" minValue="100" maxValue="499"/>
    </cacheField>
    <cacheField name="Comments" numFmtId="2">
      <sharedItems containsSemiMixedTypes="0" containsString="0" containsNumber="1" containsInteger="1" minValue="51" maxValue="400"/>
    </cacheField>
    <cacheField name="Impressions" numFmtId="2">
      <sharedItems containsSemiMixedTypes="0" containsString="0" containsNumber="1" containsInteger="1" minValue="20368" maxValue="59888"/>
    </cacheField>
    <cacheField name="Reach" numFmtId="2">
      <sharedItems containsSemiMixedTypes="0" containsString="0" containsNumber="1" containsInteger="1" minValue="18091" maxValue="74761"/>
    </cacheField>
    <cacheField name="Clicks" numFmtId="2">
      <sharedItems containsSemiMixedTypes="0" containsString="0" containsNumber="1" containsInteger="1" minValue="80" maxValue="299"/>
    </cacheField>
    <cacheField name="Hashtag 1" numFmtId="49">
      <sharedItems/>
    </cacheField>
    <cacheField name="Hashtag 2" numFmtId="49">
      <sharedItems containsBlank="1"/>
    </cacheField>
    <cacheField name="Campaign_Name" numFmtId="49">
      <sharedItems count="4">
        <s v="ChillVibes"/>
        <s v="IndieWave"/>
        <s v="Wrapped2024"/>
        <s v="SummerBeats"/>
      </sharedItems>
    </cacheField>
    <cacheField name="Engagement Rate" numFmtId="10">
      <sharedItems containsSemiMixedTypes="0" containsString="0" containsNumber="1" minValue="2.50275284149232E-2" maxValue="0.2606475236076315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PC" refreshedDate="46069.725623032406" createdVersion="8" refreshedVersion="8" minRefreshableVersion="3" recordCount="600" xr:uid="{B5C99587-DC3A-44AA-A20B-89BD6A65FEEE}">
  <cacheSource type="worksheet">
    <worksheetSource ref="A1:C601" sheet="Hashtag_Master"/>
  </cacheSource>
  <cacheFields count="3">
    <cacheField name="All_Hashtags" numFmtId="49">
      <sharedItems containsBlank="1" count="6">
        <s v="#SoundtrackOfLife"/>
        <s v="#DiscoverWeekly"/>
        <s v="#MusicForEveryone"/>
        <s v="#NowPlaying"/>
        <m/>
        <s v="#SpotifyWrapped"/>
      </sharedItems>
    </cacheField>
    <cacheField name="Engagement Rate" numFmtId="10">
      <sharedItems containsSemiMixedTypes="0" containsString="0" containsNumber="1" minValue="2.50275284149232E-2" maxValue="0.26064752360763155"/>
    </cacheField>
    <cacheField name="Clicks" numFmtId="2">
      <sharedItems containsSemiMixedTypes="0" containsString="0" containsNumber="1" containsInteger="1" minValue="80" maxValue="2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4-06-03T00:00:00"/>
    <x v="0"/>
    <n v="1402"/>
    <n v="68"/>
    <n v="124562"/>
    <n v="9.92"/>
    <n v="23125"/>
  </r>
  <r>
    <d v="2024-06-03T00:00:00"/>
    <x v="1"/>
    <n v="995"/>
    <n v="86"/>
    <n v="227958"/>
    <n v="8.0500000000000007"/>
    <n v="22788"/>
  </r>
  <r>
    <d v="2024-06-03T00:00:00"/>
    <x v="2"/>
    <n v="1472"/>
    <n v="296"/>
    <n v="370242"/>
    <n v="7.72"/>
    <n v="7810"/>
  </r>
  <r>
    <d v="2024-06-10T00:00:00"/>
    <x v="0"/>
    <n v="1018"/>
    <n v="90"/>
    <n v="92474"/>
    <n v="9.4"/>
    <n v="11966"/>
  </r>
  <r>
    <d v="2024-06-10T00:00:00"/>
    <x v="1"/>
    <n v="1461"/>
    <n v="64"/>
    <n v="328902"/>
    <n v="9.02"/>
    <n v="26298"/>
  </r>
  <r>
    <d v="2024-06-10T00:00:00"/>
    <x v="2"/>
    <n v="545"/>
    <n v="93"/>
    <n v="391621"/>
    <n v="9.9600000000000009"/>
    <n v="22029"/>
  </r>
  <r>
    <d v="2024-06-17T00:00:00"/>
    <x v="0"/>
    <n v="881"/>
    <n v="291"/>
    <n v="95885"/>
    <n v="5.29"/>
    <n v="12391"/>
  </r>
  <r>
    <d v="2024-06-17T00:00:00"/>
    <x v="1"/>
    <n v="1414"/>
    <n v="131"/>
    <n v="245947"/>
    <n v="8.3000000000000007"/>
    <n v="14477"/>
  </r>
  <r>
    <d v="2024-06-17T00:00:00"/>
    <x v="2"/>
    <n v="1472"/>
    <n v="170"/>
    <n v="250428"/>
    <n v="4.66"/>
    <n v="25040"/>
  </r>
  <r>
    <d v="2024-06-24T00:00:00"/>
    <x v="0"/>
    <n v="809"/>
    <n v="197"/>
    <n v="87186"/>
    <n v="9.48"/>
    <n v="22619"/>
  </r>
  <r>
    <d v="2024-06-24T00:00:00"/>
    <x v="1"/>
    <n v="1371"/>
    <n v="250"/>
    <n v="128620"/>
    <n v="7.11"/>
    <n v="12399"/>
  </r>
  <r>
    <d v="2024-06-24T00:00:00"/>
    <x v="2"/>
    <n v="844"/>
    <n v="144"/>
    <n v="126015"/>
    <n v="9.65"/>
    <n v="22456"/>
  </r>
  <r>
    <d v="2024-07-01T00:00:00"/>
    <x v="0"/>
    <n v="786"/>
    <n v="72"/>
    <n v="178615"/>
    <n v="5.43"/>
    <n v="19328"/>
  </r>
  <r>
    <d v="2024-07-01T00:00:00"/>
    <x v="1"/>
    <n v="845"/>
    <n v="250"/>
    <n v="218228"/>
    <n v="4.5199999999999996"/>
    <n v="21107"/>
  </r>
  <r>
    <d v="2024-07-01T00:00:00"/>
    <x v="2"/>
    <n v="1218"/>
    <n v="101"/>
    <n v="300397"/>
    <n v="4.33"/>
    <n v="12277"/>
  </r>
  <r>
    <d v="2024-07-08T00:00:00"/>
    <x v="0"/>
    <n v="797"/>
    <n v="130"/>
    <n v="340121"/>
    <n v="8.52"/>
    <n v="11684"/>
  </r>
  <r>
    <d v="2024-07-08T00:00:00"/>
    <x v="1"/>
    <n v="1471"/>
    <n v="100"/>
    <n v="76866"/>
    <n v="8.5500000000000007"/>
    <n v="14412"/>
  </r>
  <r>
    <d v="2024-07-08T00:00:00"/>
    <x v="2"/>
    <n v="1253"/>
    <n v="136"/>
    <n v="193131"/>
    <n v="7.99"/>
    <n v="15924"/>
  </r>
  <r>
    <d v="2024-07-15T00:00:00"/>
    <x v="0"/>
    <n v="616"/>
    <n v="257"/>
    <n v="169665"/>
    <n v="6.31"/>
    <n v="12390"/>
  </r>
  <r>
    <d v="2024-07-15T00:00:00"/>
    <x v="1"/>
    <n v="1308"/>
    <n v="210"/>
    <n v="263729"/>
    <n v="8.5299999999999994"/>
    <n v="25742"/>
  </r>
  <r>
    <d v="2024-07-15T00:00:00"/>
    <x v="2"/>
    <n v="981"/>
    <n v="69"/>
    <n v="206921"/>
    <n v="8.42"/>
    <n v="10495"/>
  </r>
  <r>
    <d v="2024-07-22T00:00:00"/>
    <x v="0"/>
    <n v="866"/>
    <n v="74"/>
    <n v="204121"/>
    <n v="9.34"/>
    <n v="7797"/>
  </r>
  <r>
    <d v="2024-07-22T00:00:00"/>
    <x v="1"/>
    <n v="547"/>
    <n v="183"/>
    <n v="266350"/>
    <n v="5.65"/>
    <n v="15595"/>
  </r>
  <r>
    <d v="2024-07-22T00:00:00"/>
    <x v="2"/>
    <n v="1241"/>
    <n v="116"/>
    <n v="380606"/>
    <n v="4.2"/>
    <n v="24617"/>
  </r>
  <r>
    <d v="2024-07-29T00:00:00"/>
    <x v="0"/>
    <n v="973"/>
    <n v="104"/>
    <n v="376358"/>
    <n v="3.87"/>
    <n v="9847"/>
  </r>
  <r>
    <d v="2024-07-29T00:00:00"/>
    <x v="1"/>
    <n v="611"/>
    <n v="197"/>
    <n v="79423"/>
    <n v="5.82"/>
    <n v="13644"/>
  </r>
  <r>
    <d v="2024-07-29T00:00:00"/>
    <x v="2"/>
    <n v="983"/>
    <n v="134"/>
    <n v="352178"/>
    <n v="3.55"/>
    <n v="11421"/>
  </r>
  <r>
    <d v="2024-08-05T00:00:00"/>
    <x v="0"/>
    <n v="1449"/>
    <n v="96"/>
    <n v="200636"/>
    <n v="9.92"/>
    <n v="15613"/>
  </r>
  <r>
    <d v="2024-08-05T00:00:00"/>
    <x v="1"/>
    <n v="752"/>
    <n v="170"/>
    <n v="132756"/>
    <n v="8.17"/>
    <n v="23900"/>
  </r>
  <r>
    <d v="2024-08-05T00:00:00"/>
    <x v="2"/>
    <n v="937"/>
    <n v="179"/>
    <n v="318098"/>
    <n v="5.3"/>
    <n v="5836"/>
  </r>
  <r>
    <d v="2024-08-12T00:00:00"/>
    <x v="0"/>
    <n v="1060"/>
    <n v="83"/>
    <n v="68724"/>
    <n v="5.98"/>
    <n v="5624"/>
  </r>
  <r>
    <d v="2024-08-12T00:00:00"/>
    <x v="1"/>
    <n v="1456"/>
    <n v="265"/>
    <n v="115505"/>
    <n v="7.49"/>
    <n v="10311"/>
  </r>
  <r>
    <d v="2024-08-12T00:00:00"/>
    <x v="2"/>
    <n v="1109"/>
    <n v="205"/>
    <n v="276722"/>
    <n v="9.3800000000000008"/>
    <n v="8274"/>
  </r>
  <r>
    <d v="2024-08-19T00:00:00"/>
    <x v="0"/>
    <n v="1002"/>
    <n v="93"/>
    <n v="353538"/>
    <n v="5.84"/>
    <n v="6031"/>
  </r>
  <r>
    <d v="2024-08-19T00:00:00"/>
    <x v="1"/>
    <n v="571"/>
    <n v="189"/>
    <n v="61445"/>
    <n v="5.41"/>
    <n v="27829"/>
  </r>
  <r>
    <d v="2024-08-19T00:00:00"/>
    <x v="2"/>
    <n v="1240"/>
    <n v="231"/>
    <n v="165035"/>
    <n v="6.05"/>
    <n v="18267"/>
  </r>
  <r>
    <d v="2024-08-26T00:00:00"/>
    <x v="0"/>
    <n v="1154"/>
    <n v="132"/>
    <n v="194595"/>
    <n v="7.54"/>
    <n v="26624"/>
  </r>
  <r>
    <d v="2024-08-26T00:00:00"/>
    <x v="1"/>
    <n v="537"/>
    <n v="275"/>
    <n v="236238"/>
    <n v="5.87"/>
    <n v="26644"/>
  </r>
  <r>
    <d v="2024-08-26T00:00:00"/>
    <x v="2"/>
    <n v="1456"/>
    <n v="290"/>
    <n v="271044"/>
    <n v="7.17"/>
    <n v="13051"/>
  </r>
  <r>
    <d v="2024-09-02T00:00:00"/>
    <x v="0"/>
    <n v="721"/>
    <n v="206"/>
    <n v="334887"/>
    <n v="6.05"/>
    <n v="14217"/>
  </r>
  <r>
    <d v="2024-09-02T00:00:00"/>
    <x v="1"/>
    <n v="1098"/>
    <n v="142"/>
    <n v="359150"/>
    <n v="7.51"/>
    <n v="16385"/>
  </r>
  <r>
    <d v="2024-09-02T00:00:00"/>
    <x v="2"/>
    <n v="1096"/>
    <n v="65"/>
    <n v="358295"/>
    <n v="7.66"/>
    <n v="24548"/>
  </r>
  <r>
    <d v="2024-09-09T00:00:00"/>
    <x v="0"/>
    <n v="912"/>
    <n v="275"/>
    <n v="368454"/>
    <n v="6.03"/>
    <n v="9195"/>
  </r>
  <r>
    <d v="2024-09-09T00:00:00"/>
    <x v="1"/>
    <n v="1430"/>
    <n v="162"/>
    <n v="269082"/>
    <n v="3.4"/>
    <n v="18071"/>
  </r>
  <r>
    <d v="2024-09-09T00:00:00"/>
    <x v="2"/>
    <n v="854"/>
    <n v="129"/>
    <n v="310903"/>
    <n v="7.83"/>
    <n v="16875"/>
  </r>
  <r>
    <d v="2024-09-16T00:00:00"/>
    <x v="0"/>
    <n v="681"/>
    <n v="210"/>
    <n v="248581"/>
    <n v="8.76"/>
    <n v="9567"/>
  </r>
  <r>
    <d v="2024-09-16T00:00:00"/>
    <x v="1"/>
    <n v="1373"/>
    <n v="82"/>
    <n v="371015"/>
    <n v="9.52"/>
    <n v="20306"/>
  </r>
  <r>
    <d v="2024-09-16T00:00:00"/>
    <x v="2"/>
    <n v="685"/>
    <n v="285"/>
    <n v="177452"/>
    <n v="3.36"/>
    <n v="21134"/>
  </r>
  <r>
    <d v="2024-09-23T00:00:00"/>
    <x v="0"/>
    <n v="1290"/>
    <n v="177"/>
    <n v="80745"/>
    <n v="9.2200000000000006"/>
    <n v="26872"/>
  </r>
  <r>
    <d v="2024-09-23T00:00:00"/>
    <x v="1"/>
    <n v="1437"/>
    <n v="239"/>
    <n v="362441"/>
    <n v="5.57"/>
    <n v="10253"/>
  </r>
  <r>
    <d v="2024-09-23T00:00:00"/>
    <x v="2"/>
    <n v="769"/>
    <n v="295"/>
    <n v="344771"/>
    <n v="8.06"/>
    <n v="23963"/>
  </r>
  <r>
    <d v="2024-09-30T00:00:00"/>
    <x v="0"/>
    <n v="1416"/>
    <n v="284"/>
    <n v="374952"/>
    <n v="3.45"/>
    <n v="11335"/>
  </r>
  <r>
    <d v="2024-09-30T00:00:00"/>
    <x v="1"/>
    <n v="998"/>
    <n v="154"/>
    <n v="179781"/>
    <n v="9.58"/>
    <n v="12115"/>
  </r>
  <r>
    <d v="2024-09-30T00:00:00"/>
    <x v="2"/>
    <n v="1421"/>
    <n v="246"/>
    <n v="358581"/>
    <n v="8.8800000000000008"/>
    <n v="24358"/>
  </r>
  <r>
    <d v="2024-10-07T00:00:00"/>
    <x v="0"/>
    <n v="764"/>
    <n v="205"/>
    <n v="319294"/>
    <n v="6.23"/>
    <n v="12181"/>
  </r>
  <r>
    <d v="2024-10-07T00:00:00"/>
    <x v="1"/>
    <n v="678"/>
    <n v="124"/>
    <n v="192022"/>
    <n v="8.4499999999999993"/>
    <n v="17729"/>
  </r>
  <r>
    <d v="2024-10-07T00:00:00"/>
    <x v="2"/>
    <n v="1328"/>
    <n v="103"/>
    <n v="151462"/>
    <n v="8.4"/>
    <n v="10881"/>
  </r>
  <r>
    <d v="2024-10-14T00:00:00"/>
    <x v="0"/>
    <n v="1161"/>
    <n v="269"/>
    <n v="188193"/>
    <n v="7.34"/>
    <n v="18576"/>
  </r>
  <r>
    <d v="2024-10-14T00:00:00"/>
    <x v="1"/>
    <n v="588"/>
    <n v="52"/>
    <n v="292040"/>
    <n v="8.14"/>
    <n v="9383"/>
  </r>
  <r>
    <d v="2024-10-14T00:00:00"/>
    <x v="2"/>
    <n v="1457"/>
    <n v="215"/>
    <n v="325325"/>
    <n v="9.58"/>
    <n v="14178"/>
  </r>
  <r>
    <d v="2024-10-21T00:00:00"/>
    <x v="0"/>
    <n v="1190"/>
    <n v="242"/>
    <n v="86849"/>
    <n v="8.06"/>
    <n v="21254"/>
  </r>
  <r>
    <d v="2024-10-21T00:00:00"/>
    <x v="1"/>
    <n v="886"/>
    <n v="124"/>
    <n v="141161"/>
    <n v="8.19"/>
    <n v="14215"/>
  </r>
  <r>
    <d v="2024-10-21T00:00:00"/>
    <x v="2"/>
    <n v="1237"/>
    <n v="155"/>
    <n v="149916"/>
    <n v="4.4800000000000004"/>
    <n v="16921"/>
  </r>
  <r>
    <d v="2024-10-28T00:00:00"/>
    <x v="0"/>
    <n v="1435"/>
    <n v="261"/>
    <n v="308533"/>
    <n v="4.5199999999999996"/>
    <n v="25130"/>
  </r>
  <r>
    <d v="2024-10-28T00:00:00"/>
    <x v="1"/>
    <n v="746"/>
    <n v="282"/>
    <n v="293894"/>
    <n v="5.42"/>
    <n v="25537"/>
  </r>
  <r>
    <d v="2024-10-28T00:00:00"/>
    <x v="2"/>
    <n v="759"/>
    <n v="216"/>
    <n v="147656"/>
    <n v="4.08"/>
    <n v="24943"/>
  </r>
  <r>
    <d v="2024-11-04T00:00:00"/>
    <x v="0"/>
    <n v="1437"/>
    <n v="235"/>
    <n v="326791"/>
    <n v="4.0599999999999996"/>
    <n v="14563"/>
  </r>
  <r>
    <d v="2024-11-04T00:00:00"/>
    <x v="1"/>
    <n v="1463"/>
    <n v="73"/>
    <n v="348877"/>
    <n v="9.91"/>
    <n v="26273"/>
  </r>
  <r>
    <d v="2024-11-04T00:00:00"/>
    <x v="2"/>
    <n v="1208"/>
    <n v="224"/>
    <n v="122730"/>
    <n v="8.7200000000000006"/>
    <n v="10858"/>
  </r>
  <r>
    <d v="2024-11-11T00:00:00"/>
    <x v="0"/>
    <n v="1391"/>
    <n v="187"/>
    <n v="306508"/>
    <n v="8.3800000000000008"/>
    <n v="25038"/>
  </r>
  <r>
    <d v="2024-11-11T00:00:00"/>
    <x v="1"/>
    <n v="655"/>
    <n v="123"/>
    <n v="202472"/>
    <n v="7.56"/>
    <n v="9092"/>
  </r>
  <r>
    <d v="2024-11-11T00:00:00"/>
    <x v="2"/>
    <n v="1148"/>
    <n v="90"/>
    <n v="227249"/>
    <n v="7.24"/>
    <n v="17662"/>
  </r>
  <r>
    <d v="2024-11-18T00:00:00"/>
    <x v="0"/>
    <n v="946"/>
    <n v="270"/>
    <n v="246567"/>
    <n v="4.53"/>
    <n v="5924"/>
  </r>
  <r>
    <d v="2024-11-18T00:00:00"/>
    <x v="1"/>
    <n v="791"/>
    <n v="214"/>
    <n v="114738"/>
    <n v="6.62"/>
    <n v="25347"/>
  </r>
  <r>
    <d v="2024-11-18T00:00:00"/>
    <x v="2"/>
    <n v="793"/>
    <n v="111"/>
    <n v="333500"/>
    <n v="6.36"/>
    <n v="8910"/>
  </r>
  <r>
    <d v="2024-11-25T00:00:00"/>
    <x v="0"/>
    <n v="663"/>
    <n v="213"/>
    <n v="352677"/>
    <n v="9"/>
    <n v="20438"/>
  </r>
  <r>
    <d v="2024-11-25T00:00:00"/>
    <x v="1"/>
    <n v="954"/>
    <n v="271"/>
    <n v="160936"/>
    <n v="8.83"/>
    <n v="8760"/>
  </r>
  <r>
    <d v="2024-11-25T00:00:00"/>
    <x v="2"/>
    <n v="1313"/>
    <n v="159"/>
    <n v="197183"/>
    <n v="9.7100000000000009"/>
    <n v="6625"/>
  </r>
  <r>
    <d v="2024-12-02T00:00:00"/>
    <x v="0"/>
    <n v="895"/>
    <n v="87"/>
    <n v="171271"/>
    <n v="6.68"/>
    <n v="23329"/>
  </r>
  <r>
    <d v="2024-12-02T00:00:00"/>
    <x v="1"/>
    <n v="1027"/>
    <n v="156"/>
    <n v="111293"/>
    <n v="5.51"/>
    <n v="7299"/>
  </r>
  <r>
    <d v="2024-12-02T00:00:00"/>
    <x v="2"/>
    <n v="990"/>
    <n v="286"/>
    <n v="351493"/>
    <n v="7.97"/>
    <n v="14496"/>
  </r>
  <r>
    <d v="2024-12-09T00:00:00"/>
    <x v="0"/>
    <n v="875"/>
    <n v="264"/>
    <n v="345631"/>
    <n v="9.18"/>
    <n v="25703"/>
  </r>
  <r>
    <d v="2024-12-09T00:00:00"/>
    <x v="1"/>
    <n v="599"/>
    <n v="194"/>
    <n v="105622"/>
    <n v="6.44"/>
    <n v="15108"/>
  </r>
  <r>
    <d v="2024-12-09T00:00:00"/>
    <x v="2"/>
    <n v="630"/>
    <n v="248"/>
    <n v="119054"/>
    <n v="5.0199999999999996"/>
    <n v="18867"/>
  </r>
  <r>
    <d v="2024-12-16T00:00:00"/>
    <x v="0"/>
    <n v="1350"/>
    <n v="233"/>
    <n v="171670"/>
    <n v="4.53"/>
    <n v="17574"/>
  </r>
  <r>
    <d v="2024-12-16T00:00:00"/>
    <x v="1"/>
    <n v="632"/>
    <n v="155"/>
    <n v="170432"/>
    <n v="9.17"/>
    <n v="12840"/>
  </r>
  <r>
    <d v="2024-12-16T00:00:00"/>
    <x v="2"/>
    <n v="1182"/>
    <n v="83"/>
    <n v="140300"/>
    <n v="3.27"/>
    <n v="21079"/>
  </r>
  <r>
    <d v="2024-12-23T00:00:00"/>
    <x v="0"/>
    <n v="661"/>
    <n v="94"/>
    <n v="116538"/>
    <n v="5.31"/>
    <n v="23486"/>
  </r>
  <r>
    <d v="2024-12-23T00:00:00"/>
    <x v="1"/>
    <n v="1360"/>
    <n v="227"/>
    <n v="176902"/>
    <n v="6.03"/>
    <n v="5960"/>
  </r>
  <r>
    <d v="2024-12-23T00:00:00"/>
    <x v="2"/>
    <n v="935"/>
    <n v="85"/>
    <n v="326821"/>
    <n v="8.89"/>
    <n v="13301"/>
  </r>
  <r>
    <d v="2024-12-30T00:00:00"/>
    <x v="0"/>
    <n v="664"/>
    <n v="251"/>
    <n v="240598"/>
    <n v="4.79"/>
    <n v="10563"/>
  </r>
  <r>
    <d v="2024-12-30T00:00:00"/>
    <x v="1"/>
    <n v="1490"/>
    <n v="103"/>
    <n v="373274"/>
    <n v="4.8"/>
    <n v="19949"/>
  </r>
  <r>
    <d v="2024-12-30T00:00:00"/>
    <x v="2"/>
    <n v="601"/>
    <n v="64"/>
    <n v="123272"/>
    <n v="4.07"/>
    <n v="14273"/>
  </r>
  <r>
    <d v="2025-01-06T00:00:00"/>
    <x v="0"/>
    <n v="613"/>
    <n v="170"/>
    <n v="139266"/>
    <n v="6.06"/>
    <n v="9247"/>
  </r>
  <r>
    <d v="2025-01-06T00:00:00"/>
    <x v="1"/>
    <n v="1340"/>
    <n v="57"/>
    <n v="155927"/>
    <n v="7.79"/>
    <n v="11972"/>
  </r>
  <r>
    <d v="2025-01-06T00:00:00"/>
    <x v="2"/>
    <n v="953"/>
    <n v="228"/>
    <n v="258398"/>
    <n v="9.0500000000000007"/>
    <n v="13314"/>
  </r>
  <r>
    <d v="2025-01-13T00:00:00"/>
    <x v="0"/>
    <n v="532"/>
    <n v="65"/>
    <n v="338561"/>
    <n v="3.5"/>
    <n v="14749"/>
  </r>
  <r>
    <d v="2025-01-13T00:00:00"/>
    <x v="1"/>
    <n v="1414"/>
    <n v="60"/>
    <n v="341856"/>
    <n v="8.76"/>
    <n v="6868"/>
  </r>
  <r>
    <d v="2025-01-13T00:00:00"/>
    <x v="2"/>
    <n v="685"/>
    <n v="165"/>
    <n v="175860"/>
    <n v="6.26"/>
    <n v="6027"/>
  </r>
  <r>
    <d v="2025-01-20T00:00:00"/>
    <x v="0"/>
    <n v="601"/>
    <n v="159"/>
    <n v="327722"/>
    <n v="3.33"/>
    <n v="25267"/>
  </r>
  <r>
    <d v="2025-01-20T00:00:00"/>
    <x v="1"/>
    <n v="841"/>
    <n v="295"/>
    <n v="271638"/>
    <n v="9.15"/>
    <n v="5900"/>
  </r>
  <r>
    <d v="2025-01-20T00:00:00"/>
    <x v="2"/>
    <n v="1105"/>
    <n v="261"/>
    <n v="333851"/>
    <n v="6.03"/>
    <n v="11181"/>
  </r>
  <r>
    <d v="2025-01-27T00:00:00"/>
    <x v="0"/>
    <n v="566"/>
    <n v="225"/>
    <n v="368984"/>
    <n v="9.82"/>
    <n v="9592"/>
  </r>
  <r>
    <d v="2025-01-27T00:00:00"/>
    <x v="1"/>
    <n v="1149"/>
    <n v="280"/>
    <n v="167310"/>
    <n v="3.7"/>
    <n v="5291"/>
  </r>
  <r>
    <d v="2025-01-27T00:00:00"/>
    <x v="2"/>
    <n v="819"/>
    <n v="101"/>
    <n v="194811"/>
    <n v="3.35"/>
    <n v="22244"/>
  </r>
  <r>
    <d v="2025-02-03T00:00:00"/>
    <x v="0"/>
    <n v="795"/>
    <n v="60"/>
    <n v="314982"/>
    <n v="7.31"/>
    <n v="6824"/>
  </r>
  <r>
    <d v="2025-02-03T00:00:00"/>
    <x v="1"/>
    <n v="681"/>
    <n v="158"/>
    <n v="75960"/>
    <n v="3.13"/>
    <n v="24112"/>
  </r>
  <r>
    <d v="2025-02-03T00:00:00"/>
    <x v="2"/>
    <n v="534"/>
    <n v="112"/>
    <n v="360759"/>
    <n v="4.8899999999999997"/>
    <n v="25478"/>
  </r>
  <r>
    <d v="2025-02-10T00:00:00"/>
    <x v="0"/>
    <n v="1066"/>
    <n v="151"/>
    <n v="297090"/>
    <n v="8.6300000000000008"/>
    <n v="11235"/>
  </r>
  <r>
    <d v="2025-02-10T00:00:00"/>
    <x v="1"/>
    <n v="1270"/>
    <n v="162"/>
    <n v="92040"/>
    <n v="8.0299999999999994"/>
    <n v="6120"/>
  </r>
  <r>
    <d v="2025-02-10T00:00:00"/>
    <x v="2"/>
    <n v="536"/>
    <n v="198"/>
    <n v="174610"/>
    <n v="7.85"/>
    <n v="20572"/>
  </r>
  <r>
    <d v="2025-02-17T00:00:00"/>
    <x v="0"/>
    <n v="819"/>
    <n v="95"/>
    <n v="177376"/>
    <n v="6.12"/>
    <n v="14975"/>
  </r>
  <r>
    <d v="2025-02-17T00:00:00"/>
    <x v="1"/>
    <n v="681"/>
    <n v="218"/>
    <n v="198882"/>
    <n v="7.16"/>
    <n v="22234"/>
  </r>
  <r>
    <d v="2025-02-17T00:00:00"/>
    <x v="2"/>
    <n v="646"/>
    <n v="290"/>
    <n v="336383"/>
    <n v="7.04"/>
    <n v="6532"/>
  </r>
  <r>
    <d v="2025-02-24T00:00:00"/>
    <x v="0"/>
    <n v="645"/>
    <n v="267"/>
    <n v="346890"/>
    <n v="3.71"/>
    <n v="24858"/>
  </r>
  <r>
    <d v="2025-02-24T00:00:00"/>
    <x v="1"/>
    <n v="886"/>
    <n v="250"/>
    <n v="168170"/>
    <n v="4.12"/>
    <n v="13883"/>
  </r>
  <r>
    <d v="2025-02-24T00:00:00"/>
    <x v="2"/>
    <n v="978"/>
    <n v="279"/>
    <n v="368872"/>
    <n v="6.82"/>
    <n v="18654"/>
  </r>
  <r>
    <d v="2025-03-03T00:00:00"/>
    <x v="0"/>
    <n v="1444"/>
    <n v="165"/>
    <n v="116436"/>
    <n v="8.2200000000000006"/>
    <n v="25234"/>
  </r>
  <r>
    <d v="2025-03-03T00:00:00"/>
    <x v="1"/>
    <n v="1234"/>
    <n v="228"/>
    <n v="127502"/>
    <n v="7.71"/>
    <n v="6772"/>
  </r>
  <r>
    <d v="2025-03-03T00:00:00"/>
    <x v="2"/>
    <n v="665"/>
    <n v="187"/>
    <n v="274567"/>
    <n v="7.39"/>
    <n v="22428"/>
  </r>
  <r>
    <d v="2025-03-10T00:00:00"/>
    <x v="0"/>
    <n v="631"/>
    <n v="86"/>
    <n v="295090"/>
    <n v="7.89"/>
    <n v="11911"/>
  </r>
  <r>
    <d v="2025-03-10T00:00:00"/>
    <x v="1"/>
    <n v="1159"/>
    <n v="154"/>
    <n v="194994"/>
    <n v="6.39"/>
    <n v="21900"/>
  </r>
  <r>
    <d v="2025-03-10T00:00:00"/>
    <x v="2"/>
    <n v="950"/>
    <n v="185"/>
    <n v="340750"/>
    <n v="6.77"/>
    <n v="25542"/>
  </r>
  <r>
    <d v="2025-03-17T00:00:00"/>
    <x v="0"/>
    <n v="693"/>
    <n v="129"/>
    <n v="296031"/>
    <n v="3.41"/>
    <n v="7140"/>
  </r>
  <r>
    <d v="2025-03-17T00:00:00"/>
    <x v="1"/>
    <n v="576"/>
    <n v="80"/>
    <n v="345688"/>
    <n v="4.1100000000000003"/>
    <n v="20474"/>
  </r>
  <r>
    <d v="2025-03-17T00:00:00"/>
    <x v="2"/>
    <n v="1274"/>
    <n v="146"/>
    <n v="263488"/>
    <n v="9.58"/>
    <n v="8698"/>
  </r>
  <r>
    <d v="2025-03-24T00:00:00"/>
    <x v="0"/>
    <n v="818"/>
    <n v="253"/>
    <n v="184911"/>
    <n v="3.39"/>
    <n v="10402"/>
  </r>
  <r>
    <d v="2025-03-24T00:00:00"/>
    <x v="1"/>
    <n v="975"/>
    <n v="162"/>
    <n v="124497"/>
    <n v="9.58"/>
    <n v="26618"/>
  </r>
  <r>
    <d v="2025-03-24T00:00:00"/>
    <x v="2"/>
    <n v="1398"/>
    <n v="97"/>
    <n v="397607"/>
    <n v="5.09"/>
    <n v="7975"/>
  </r>
  <r>
    <d v="2025-03-31T00:00:00"/>
    <x v="0"/>
    <n v="591"/>
    <n v="155"/>
    <n v="138521"/>
    <n v="7.85"/>
    <n v="19054"/>
  </r>
  <r>
    <d v="2025-03-31T00:00:00"/>
    <x v="1"/>
    <n v="1232"/>
    <n v="254"/>
    <n v="107718"/>
    <n v="9.7100000000000009"/>
    <n v="13740"/>
  </r>
  <r>
    <d v="2025-03-31T00:00:00"/>
    <x v="2"/>
    <n v="1425"/>
    <n v="58"/>
    <n v="202234"/>
    <n v="6.67"/>
    <n v="18442"/>
  </r>
  <r>
    <d v="2025-04-07T00:00:00"/>
    <x v="0"/>
    <n v="1417"/>
    <n v="80"/>
    <n v="340987"/>
    <n v="6.13"/>
    <n v="10104"/>
  </r>
  <r>
    <d v="2025-04-07T00:00:00"/>
    <x v="1"/>
    <n v="1222"/>
    <n v="208"/>
    <n v="340098"/>
    <n v="7.34"/>
    <n v="21771"/>
  </r>
  <r>
    <d v="2025-04-07T00:00:00"/>
    <x v="2"/>
    <n v="1071"/>
    <n v="131"/>
    <n v="254727"/>
    <n v="6.87"/>
    <n v="22191"/>
  </r>
  <r>
    <d v="2025-04-14T00:00:00"/>
    <x v="0"/>
    <n v="772"/>
    <n v="82"/>
    <n v="345659"/>
    <n v="3.52"/>
    <n v="27753"/>
  </r>
  <r>
    <d v="2025-04-14T00:00:00"/>
    <x v="1"/>
    <n v="1472"/>
    <n v="137"/>
    <n v="213950"/>
    <n v="6.96"/>
    <n v="23736"/>
  </r>
  <r>
    <d v="2025-04-14T00:00:00"/>
    <x v="2"/>
    <n v="1472"/>
    <n v="281"/>
    <n v="258115"/>
    <n v="7.23"/>
    <n v="27393"/>
  </r>
  <r>
    <d v="2025-04-21T00:00:00"/>
    <x v="0"/>
    <n v="585"/>
    <n v="232"/>
    <n v="321258"/>
    <n v="7.42"/>
    <n v="10343"/>
  </r>
  <r>
    <d v="2025-04-21T00:00:00"/>
    <x v="1"/>
    <n v="747"/>
    <n v="261"/>
    <n v="338650"/>
    <n v="7.73"/>
    <n v="25259"/>
  </r>
  <r>
    <d v="2025-04-21T00:00:00"/>
    <x v="2"/>
    <n v="1113"/>
    <n v="224"/>
    <n v="272989"/>
    <n v="5.13"/>
    <n v="24827"/>
  </r>
  <r>
    <d v="2025-04-28T00:00:00"/>
    <x v="0"/>
    <n v="1100"/>
    <n v="117"/>
    <n v="260204"/>
    <n v="4.4000000000000004"/>
    <n v="11908"/>
  </r>
  <r>
    <d v="2025-04-28T00:00:00"/>
    <x v="1"/>
    <n v="751"/>
    <n v="170"/>
    <n v="283278"/>
    <n v="3.49"/>
    <n v="11005"/>
  </r>
  <r>
    <d v="2025-04-28T00:00:00"/>
    <x v="2"/>
    <n v="864"/>
    <n v="50"/>
    <n v="277445"/>
    <n v="3.57"/>
    <n v="26333"/>
  </r>
  <r>
    <d v="2025-05-05T00:00:00"/>
    <x v="0"/>
    <n v="1146"/>
    <n v="227"/>
    <n v="353781"/>
    <n v="6.41"/>
    <n v="5495"/>
  </r>
  <r>
    <d v="2025-05-05T00:00:00"/>
    <x v="1"/>
    <n v="883"/>
    <n v="207"/>
    <n v="265019"/>
    <n v="6.04"/>
    <n v="15655"/>
  </r>
  <r>
    <d v="2025-05-05T00:00:00"/>
    <x v="2"/>
    <n v="622"/>
    <n v="163"/>
    <n v="231925"/>
    <n v="9.18"/>
    <n v="13763"/>
  </r>
  <r>
    <d v="2025-05-12T00:00:00"/>
    <x v="0"/>
    <n v="837"/>
    <n v="261"/>
    <n v="366149"/>
    <n v="6.54"/>
    <n v="26073"/>
  </r>
  <r>
    <d v="2025-05-12T00:00:00"/>
    <x v="1"/>
    <n v="544"/>
    <n v="97"/>
    <n v="168375"/>
    <n v="8.66"/>
    <n v="12774"/>
  </r>
  <r>
    <d v="2025-05-12T00:00:00"/>
    <x v="2"/>
    <n v="624"/>
    <n v="247"/>
    <n v="252763"/>
    <n v="3.89"/>
    <n v="19000"/>
  </r>
  <r>
    <d v="2025-05-19T00:00:00"/>
    <x v="0"/>
    <n v="1073"/>
    <n v="141"/>
    <n v="118393"/>
    <n v="7.95"/>
    <n v="14051"/>
  </r>
  <r>
    <d v="2025-05-19T00:00:00"/>
    <x v="1"/>
    <n v="1430"/>
    <n v="74"/>
    <n v="327012"/>
    <n v="6.66"/>
    <n v="27782"/>
  </r>
  <r>
    <d v="2025-05-19T00:00:00"/>
    <x v="2"/>
    <n v="1358"/>
    <n v="77"/>
    <n v="169688"/>
    <n v="5.25"/>
    <n v="7859"/>
  </r>
  <r>
    <d v="2025-05-26T00:00:00"/>
    <x v="0"/>
    <n v="1242"/>
    <n v="201"/>
    <n v="271935"/>
    <n v="5.07"/>
    <n v="15773"/>
  </r>
  <r>
    <d v="2025-05-26T00:00:00"/>
    <x v="1"/>
    <n v="1389"/>
    <n v="205"/>
    <n v="315981"/>
    <n v="7.62"/>
    <n v="20595"/>
  </r>
  <r>
    <d v="2025-05-26T00:00:00"/>
    <x v="2"/>
    <n v="826"/>
    <n v="142"/>
    <n v="341016"/>
    <n v="7.44"/>
    <n v="12031"/>
  </r>
  <r>
    <d v="2025-06-02T00:00:00"/>
    <x v="0"/>
    <n v="618"/>
    <n v="264"/>
    <n v="285164"/>
    <n v="4.8600000000000003"/>
    <n v="15128"/>
  </r>
  <r>
    <d v="2025-06-02T00:00:00"/>
    <x v="1"/>
    <n v="1419"/>
    <n v="293"/>
    <n v="116632"/>
    <n v="6.93"/>
    <n v="11826"/>
  </r>
  <r>
    <d v="2025-06-02T00:00:00"/>
    <x v="2"/>
    <n v="637"/>
    <n v="68"/>
    <n v="115694"/>
    <n v="9.99"/>
    <n v="12562"/>
  </r>
  <r>
    <d v="2025-06-09T00:00:00"/>
    <x v="0"/>
    <n v="917"/>
    <n v="187"/>
    <n v="64444"/>
    <n v="5.22"/>
    <n v="13013"/>
  </r>
  <r>
    <d v="2025-06-09T00:00:00"/>
    <x v="1"/>
    <n v="810"/>
    <n v="232"/>
    <n v="362559"/>
    <n v="5.17"/>
    <n v="12937"/>
  </r>
  <r>
    <d v="2025-06-09T00:00:00"/>
    <x v="2"/>
    <n v="1183"/>
    <n v="248"/>
    <n v="226881"/>
    <n v="5.17"/>
    <n v="14534"/>
  </r>
  <r>
    <d v="2025-06-16T00:00:00"/>
    <x v="0"/>
    <n v="765"/>
    <n v="67"/>
    <n v="283537"/>
    <n v="6.18"/>
    <n v="8182"/>
  </r>
  <r>
    <d v="2025-06-16T00:00:00"/>
    <x v="1"/>
    <n v="540"/>
    <n v="215"/>
    <n v="62837"/>
    <n v="5.3"/>
    <n v="10615"/>
  </r>
  <r>
    <d v="2025-06-16T00:00:00"/>
    <x v="2"/>
    <n v="1145"/>
    <n v="151"/>
    <n v="182759"/>
    <n v="5.99"/>
    <n v="20109"/>
  </r>
  <r>
    <d v="2025-06-23T00:00:00"/>
    <x v="0"/>
    <n v="564"/>
    <n v="244"/>
    <n v="279405"/>
    <n v="8.43"/>
    <n v="26024"/>
  </r>
  <r>
    <d v="2025-06-23T00:00:00"/>
    <x v="1"/>
    <n v="668"/>
    <n v="124"/>
    <n v="257485"/>
    <n v="7.55"/>
    <n v="26730"/>
  </r>
  <r>
    <d v="2025-06-23T00:00:00"/>
    <x v="2"/>
    <n v="761"/>
    <n v="241"/>
    <n v="154977"/>
    <n v="5.63"/>
    <n v="10563"/>
  </r>
  <r>
    <d v="2025-06-30T00:00:00"/>
    <x v="0"/>
    <n v="593"/>
    <n v="108"/>
    <n v="216500"/>
    <n v="4.71"/>
    <n v="27575"/>
  </r>
  <r>
    <d v="2025-06-30T00:00:00"/>
    <x v="1"/>
    <n v="1349"/>
    <n v="115"/>
    <n v="102102"/>
    <n v="5.28"/>
    <n v="14479"/>
  </r>
  <r>
    <d v="2025-06-30T00:00:00"/>
    <x v="2"/>
    <n v="693"/>
    <n v="97"/>
    <n v="92025"/>
    <n v="5.95"/>
    <n v="15915"/>
  </r>
  <r>
    <d v="2025-07-07T00:00:00"/>
    <x v="0"/>
    <n v="974"/>
    <n v="143"/>
    <n v="247965"/>
    <n v="9.98"/>
    <n v="12767"/>
  </r>
  <r>
    <d v="2025-07-07T00:00:00"/>
    <x v="1"/>
    <n v="1155"/>
    <n v="122"/>
    <n v="387352"/>
    <n v="9.93"/>
    <n v="12170"/>
  </r>
  <r>
    <d v="2025-07-07T00:00:00"/>
    <x v="2"/>
    <n v="1051"/>
    <n v="246"/>
    <n v="253985"/>
    <n v="9.08"/>
    <n v="7245"/>
  </r>
  <r>
    <d v="2025-07-14T00:00:00"/>
    <x v="0"/>
    <n v="1457"/>
    <n v="183"/>
    <n v="129640"/>
    <n v="7.98"/>
    <n v="12985"/>
  </r>
  <r>
    <d v="2025-07-14T00:00:00"/>
    <x v="1"/>
    <n v="670"/>
    <n v="242"/>
    <n v="281913"/>
    <n v="9.6199999999999992"/>
    <n v="16377"/>
  </r>
  <r>
    <d v="2025-07-14T00:00:00"/>
    <x v="2"/>
    <n v="1111"/>
    <n v="159"/>
    <n v="360770"/>
    <n v="8.7100000000000009"/>
    <n v="11453"/>
  </r>
  <r>
    <d v="2025-07-21T00:00:00"/>
    <x v="0"/>
    <n v="1197"/>
    <n v="246"/>
    <n v="127273"/>
    <n v="6.69"/>
    <n v="12323"/>
  </r>
  <r>
    <d v="2025-07-21T00:00:00"/>
    <x v="1"/>
    <n v="754"/>
    <n v="150"/>
    <n v="189622"/>
    <n v="4.25"/>
    <n v="11911"/>
  </r>
  <r>
    <d v="2025-07-21T00:00:00"/>
    <x v="2"/>
    <n v="1246"/>
    <n v="107"/>
    <n v="350949"/>
    <n v="4.9800000000000004"/>
    <n v="27809"/>
  </r>
  <r>
    <d v="2025-07-28T00:00:00"/>
    <x v="0"/>
    <n v="780"/>
    <n v="213"/>
    <n v="121431"/>
    <n v="4.97"/>
    <n v="21464"/>
  </r>
  <r>
    <d v="2025-07-28T00:00:00"/>
    <x v="1"/>
    <n v="1425"/>
    <n v="143"/>
    <n v="116742"/>
    <n v="3.71"/>
    <n v="27126"/>
  </r>
  <r>
    <d v="2025-07-28T00:00:00"/>
    <x v="2"/>
    <n v="1490"/>
    <n v="103"/>
    <n v="81184"/>
    <n v="7.79"/>
    <n v="10681"/>
  </r>
  <r>
    <d v="2025-08-04T00:00:00"/>
    <x v="0"/>
    <n v="949"/>
    <n v="282"/>
    <n v="87126"/>
    <n v="4.96"/>
    <n v="5413"/>
  </r>
  <r>
    <d v="2025-08-04T00:00:00"/>
    <x v="1"/>
    <n v="640"/>
    <n v="141"/>
    <n v="267546"/>
    <n v="8.58"/>
    <n v="25058"/>
  </r>
  <r>
    <d v="2025-08-04T00:00:00"/>
    <x v="2"/>
    <n v="616"/>
    <n v="93"/>
    <n v="133082"/>
    <n v="8.51"/>
    <n v="18303"/>
  </r>
  <r>
    <d v="2025-08-11T00:00:00"/>
    <x v="0"/>
    <n v="1080"/>
    <n v="184"/>
    <n v="340557"/>
    <n v="5.41"/>
    <n v="5526"/>
  </r>
  <r>
    <d v="2025-08-11T00:00:00"/>
    <x v="1"/>
    <n v="938"/>
    <n v="236"/>
    <n v="116472"/>
    <n v="8.7200000000000006"/>
    <n v="17460"/>
  </r>
  <r>
    <d v="2025-08-11T00:00:00"/>
    <x v="2"/>
    <n v="1007"/>
    <n v="258"/>
    <n v="113412"/>
    <n v="7.71"/>
    <n v="14475"/>
  </r>
  <r>
    <d v="2025-08-18T00:00:00"/>
    <x v="0"/>
    <n v="541"/>
    <n v="208"/>
    <n v="157547"/>
    <n v="8.35"/>
    <n v="20162"/>
  </r>
  <r>
    <d v="2025-08-18T00:00:00"/>
    <x v="1"/>
    <n v="745"/>
    <n v="98"/>
    <n v="354816"/>
    <n v="4.03"/>
    <n v="17103"/>
  </r>
  <r>
    <d v="2025-08-18T00:00:00"/>
    <x v="2"/>
    <n v="936"/>
    <n v="97"/>
    <n v="151799"/>
    <n v="9.3699999999999992"/>
    <n v="15461"/>
  </r>
  <r>
    <d v="2025-08-25T00:00:00"/>
    <x v="0"/>
    <n v="1183"/>
    <n v="223"/>
    <n v="143811"/>
    <n v="6.07"/>
    <n v="22103"/>
  </r>
  <r>
    <d v="2025-08-25T00:00:00"/>
    <x v="1"/>
    <n v="1413"/>
    <n v="245"/>
    <n v="296450"/>
    <n v="6.52"/>
    <n v="11625"/>
  </r>
  <r>
    <d v="2025-08-25T00:00:00"/>
    <x v="2"/>
    <n v="791"/>
    <n v="273"/>
    <n v="144049"/>
    <n v="3.08"/>
    <n v="5281"/>
  </r>
  <r>
    <d v="2025-09-01T00:00:00"/>
    <x v="0"/>
    <n v="1052"/>
    <n v="180"/>
    <n v="272534"/>
    <n v="5.34"/>
    <n v="13424"/>
  </r>
  <r>
    <d v="2025-09-01T00:00:00"/>
    <x v="1"/>
    <n v="572"/>
    <n v="270"/>
    <n v="82265"/>
    <n v="3.65"/>
    <n v="13140"/>
  </r>
  <r>
    <d v="2025-09-01T00:00:00"/>
    <x v="2"/>
    <n v="503"/>
    <n v="253"/>
    <n v="313562"/>
    <n v="4.18"/>
    <n v="19538"/>
  </r>
  <r>
    <d v="2025-09-08T00:00:00"/>
    <x v="0"/>
    <n v="1017"/>
    <n v="197"/>
    <n v="89918"/>
    <n v="3.91"/>
    <n v="7881"/>
  </r>
  <r>
    <d v="2025-09-08T00:00:00"/>
    <x v="1"/>
    <n v="860"/>
    <n v="244"/>
    <n v="348686"/>
    <n v="5.12"/>
    <n v="1141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402"/>
    <n v="68"/>
    <n v="124562"/>
    <n v="9.92"/>
    <n v="23125"/>
    <n v="1334"/>
    <n v="1.0709526179733787E-2"/>
  </r>
  <r>
    <x v="0"/>
    <x v="1"/>
    <n v="995"/>
    <n v="86"/>
    <n v="227958"/>
    <n v="8.0500000000000007"/>
    <n v="22788"/>
    <n v="909"/>
    <n v="3.9875766588582107E-3"/>
  </r>
  <r>
    <x v="0"/>
    <x v="2"/>
    <n v="1472"/>
    <n v="296"/>
    <n v="370242"/>
    <n v="7.72"/>
    <n v="7810"/>
    <n v="1176"/>
    <n v="3.176300905893983E-3"/>
  </r>
  <r>
    <x v="1"/>
    <x v="0"/>
    <n v="1018"/>
    <n v="90"/>
    <n v="92474"/>
    <n v="9.4"/>
    <n v="11966"/>
    <n v="928"/>
    <n v="1.0035253152237385E-2"/>
  </r>
  <r>
    <x v="1"/>
    <x v="1"/>
    <n v="1461"/>
    <n v="64"/>
    <n v="328902"/>
    <n v="9.02"/>
    <n v="26298"/>
    <n v="1397"/>
    <n v="4.247465810484582E-3"/>
  </r>
  <r>
    <x v="1"/>
    <x v="2"/>
    <n v="545"/>
    <n v="93"/>
    <n v="391621"/>
    <n v="9.9600000000000009"/>
    <n v="22029"/>
    <n v="452"/>
    <n v="1.1541771253329111E-3"/>
  </r>
  <r>
    <x v="2"/>
    <x v="0"/>
    <n v="881"/>
    <n v="291"/>
    <n v="95885"/>
    <n v="5.29"/>
    <n v="12391"/>
    <n v="590"/>
    <n v="6.1532043593888509E-3"/>
  </r>
  <r>
    <x v="2"/>
    <x v="1"/>
    <n v="1414"/>
    <n v="131"/>
    <n v="245947"/>
    <n v="8.3000000000000007"/>
    <n v="14477"/>
    <n v="1283"/>
    <n v="5.2165710498603361E-3"/>
  </r>
  <r>
    <x v="2"/>
    <x v="2"/>
    <n v="1472"/>
    <n v="170"/>
    <n v="250428"/>
    <n v="4.66"/>
    <n v="25040"/>
    <n v="1302"/>
    <n v="5.1990991422684362E-3"/>
  </r>
  <r>
    <x v="3"/>
    <x v="0"/>
    <n v="809"/>
    <n v="197"/>
    <n v="87186"/>
    <n v="9.48"/>
    <n v="22619"/>
    <n v="612"/>
    <n v="7.0194756038813571E-3"/>
  </r>
  <r>
    <x v="3"/>
    <x v="1"/>
    <n v="1371"/>
    <n v="250"/>
    <n v="128620"/>
    <n v="7.11"/>
    <n v="12399"/>
    <n v="1121"/>
    <n v="8.7155963302752298E-3"/>
  </r>
  <r>
    <x v="3"/>
    <x v="2"/>
    <n v="844"/>
    <n v="144"/>
    <n v="126015"/>
    <n v="9.65"/>
    <n v="22456"/>
    <n v="700"/>
    <n v="5.5548942586200059E-3"/>
  </r>
  <r>
    <x v="4"/>
    <x v="0"/>
    <n v="786"/>
    <n v="72"/>
    <n v="178615"/>
    <n v="5.43"/>
    <n v="19328"/>
    <n v="714"/>
    <n v="3.9974246283906723E-3"/>
  </r>
  <r>
    <x v="4"/>
    <x v="1"/>
    <n v="845"/>
    <n v="250"/>
    <n v="218228"/>
    <n v="4.5199999999999996"/>
    <n v="21107"/>
    <n v="595"/>
    <n v="2.7265062228494967E-3"/>
  </r>
  <r>
    <x v="4"/>
    <x v="2"/>
    <n v="1218"/>
    <n v="101"/>
    <n v="300397"/>
    <n v="4.33"/>
    <n v="12277"/>
    <n v="1117"/>
    <n v="3.7184126339477423E-3"/>
  </r>
  <r>
    <x v="5"/>
    <x v="0"/>
    <n v="797"/>
    <n v="130"/>
    <n v="340121"/>
    <n v="8.52"/>
    <n v="11684"/>
    <n v="667"/>
    <n v="1.9610667968164271E-3"/>
  </r>
  <r>
    <x v="5"/>
    <x v="1"/>
    <n v="1471"/>
    <n v="100"/>
    <n v="76866"/>
    <n v="8.5500000000000007"/>
    <n v="14412"/>
    <n v="1371"/>
    <n v="1.7836234485988603E-2"/>
  </r>
  <r>
    <x v="5"/>
    <x v="2"/>
    <n v="1253"/>
    <n v="136"/>
    <n v="193131"/>
    <n v="7.99"/>
    <n v="15924"/>
    <n v="1117"/>
    <n v="5.7836390843520723E-3"/>
  </r>
  <r>
    <x v="6"/>
    <x v="0"/>
    <n v="616"/>
    <n v="257"/>
    <n v="169665"/>
    <n v="6.31"/>
    <n v="12390"/>
    <n v="359"/>
    <n v="2.1159343412017798E-3"/>
  </r>
  <r>
    <x v="6"/>
    <x v="1"/>
    <n v="1308"/>
    <n v="210"/>
    <n v="263729"/>
    <n v="8.5299999999999994"/>
    <n v="25742"/>
    <n v="1098"/>
    <n v="4.1633646660018432E-3"/>
  </r>
  <r>
    <x v="6"/>
    <x v="2"/>
    <n v="981"/>
    <n v="69"/>
    <n v="206921"/>
    <n v="8.42"/>
    <n v="10495"/>
    <n v="912"/>
    <n v="4.4074791828765565E-3"/>
  </r>
  <r>
    <x v="7"/>
    <x v="0"/>
    <n v="866"/>
    <n v="74"/>
    <n v="204121"/>
    <n v="9.34"/>
    <n v="7797"/>
    <n v="792"/>
    <n v="3.8800515380583087E-3"/>
  </r>
  <r>
    <x v="7"/>
    <x v="1"/>
    <n v="547"/>
    <n v="183"/>
    <n v="266350"/>
    <n v="5.65"/>
    <n v="15595"/>
    <n v="364"/>
    <n v="1.3666228646517741E-3"/>
  </r>
  <r>
    <x v="7"/>
    <x v="2"/>
    <n v="1241"/>
    <n v="116"/>
    <n v="380606"/>
    <n v="4.2"/>
    <n v="24617"/>
    <n v="1125"/>
    <n v="2.9558125725816196E-3"/>
  </r>
  <r>
    <x v="8"/>
    <x v="0"/>
    <n v="973"/>
    <n v="104"/>
    <n v="376358"/>
    <n v="3.87"/>
    <n v="9847"/>
    <n v="869"/>
    <n v="2.3089717768720206E-3"/>
  </r>
  <r>
    <x v="8"/>
    <x v="1"/>
    <n v="611"/>
    <n v="197"/>
    <n v="79423"/>
    <n v="5.82"/>
    <n v="13644"/>
    <n v="414"/>
    <n v="5.2125958475504573E-3"/>
  </r>
  <r>
    <x v="8"/>
    <x v="2"/>
    <n v="983"/>
    <n v="134"/>
    <n v="352178"/>
    <n v="3.55"/>
    <n v="11421"/>
    <n v="849"/>
    <n v="2.4107127645679174E-3"/>
  </r>
  <r>
    <x v="9"/>
    <x v="0"/>
    <n v="1449"/>
    <n v="96"/>
    <n v="200636"/>
    <n v="9.92"/>
    <n v="15613"/>
    <n v="1353"/>
    <n v="6.7435554935305723E-3"/>
  </r>
  <r>
    <x v="9"/>
    <x v="1"/>
    <n v="752"/>
    <n v="170"/>
    <n v="132756"/>
    <n v="8.17"/>
    <n v="23900"/>
    <n v="582"/>
    <n v="4.3839826448522105E-3"/>
  </r>
  <r>
    <x v="9"/>
    <x v="2"/>
    <n v="937"/>
    <n v="179"/>
    <n v="318098"/>
    <n v="5.3"/>
    <n v="5836"/>
    <n v="758"/>
    <n v="2.3829134417695176E-3"/>
  </r>
  <r>
    <x v="10"/>
    <x v="0"/>
    <n v="1060"/>
    <n v="83"/>
    <n v="68724"/>
    <n v="5.98"/>
    <n v="5624"/>
    <n v="977"/>
    <n v="1.4216285431581398E-2"/>
  </r>
  <r>
    <x v="10"/>
    <x v="1"/>
    <n v="1456"/>
    <n v="265"/>
    <n v="115505"/>
    <n v="7.49"/>
    <n v="10311"/>
    <n v="1191"/>
    <n v="1.031124193757846E-2"/>
  </r>
  <r>
    <x v="10"/>
    <x v="2"/>
    <n v="1109"/>
    <n v="205"/>
    <n v="276722"/>
    <n v="9.3800000000000008"/>
    <n v="8274"/>
    <n v="904"/>
    <n v="3.2668165162148292E-3"/>
  </r>
  <r>
    <x v="11"/>
    <x v="0"/>
    <n v="1002"/>
    <n v="93"/>
    <n v="353538"/>
    <n v="5.84"/>
    <n v="6031"/>
    <n v="909"/>
    <n v="2.5711521816608116E-3"/>
  </r>
  <r>
    <x v="11"/>
    <x v="1"/>
    <n v="571"/>
    <n v="189"/>
    <n v="61445"/>
    <n v="5.41"/>
    <n v="27829"/>
    <n v="382"/>
    <n v="6.2169419806330862E-3"/>
  </r>
  <r>
    <x v="11"/>
    <x v="2"/>
    <n v="1240"/>
    <n v="231"/>
    <n v="165035"/>
    <n v="6.05"/>
    <n v="18267"/>
    <n v="1009"/>
    <n v="6.1138546368952043E-3"/>
  </r>
  <r>
    <x v="12"/>
    <x v="0"/>
    <n v="1154"/>
    <n v="132"/>
    <n v="194595"/>
    <n v="7.54"/>
    <n v="26624"/>
    <n v="1022"/>
    <n v="5.2519335029163131E-3"/>
  </r>
  <r>
    <x v="12"/>
    <x v="1"/>
    <n v="537"/>
    <n v="275"/>
    <n v="236238"/>
    <n v="5.87"/>
    <n v="26644"/>
    <n v="262"/>
    <n v="1.1090510417460359E-3"/>
  </r>
  <r>
    <x v="12"/>
    <x v="2"/>
    <n v="1456"/>
    <n v="290"/>
    <n v="271044"/>
    <n v="7.17"/>
    <n v="13051"/>
    <n v="1166"/>
    <n v="4.3018845648676966E-3"/>
  </r>
  <r>
    <x v="13"/>
    <x v="0"/>
    <n v="721"/>
    <n v="206"/>
    <n v="334887"/>
    <n v="6.05"/>
    <n v="14217"/>
    <n v="515"/>
    <n v="1.5378321642822803E-3"/>
  </r>
  <r>
    <x v="13"/>
    <x v="1"/>
    <n v="1098"/>
    <n v="142"/>
    <n v="359150"/>
    <n v="7.51"/>
    <n v="16385"/>
    <n v="956"/>
    <n v="2.6618404566337186E-3"/>
  </r>
  <r>
    <x v="13"/>
    <x v="2"/>
    <n v="1096"/>
    <n v="65"/>
    <n v="358295"/>
    <n v="7.66"/>
    <n v="24548"/>
    <n v="1031"/>
    <n v="2.8775171297394605E-3"/>
  </r>
  <r>
    <x v="14"/>
    <x v="0"/>
    <n v="912"/>
    <n v="275"/>
    <n v="368454"/>
    <n v="6.03"/>
    <n v="9195"/>
    <n v="637"/>
    <n v="1.7288453918263881E-3"/>
  </r>
  <r>
    <x v="14"/>
    <x v="1"/>
    <n v="1430"/>
    <n v="162"/>
    <n v="269082"/>
    <n v="3.4"/>
    <n v="18071"/>
    <n v="1268"/>
    <n v="4.7123181781018424E-3"/>
  </r>
  <r>
    <x v="14"/>
    <x v="2"/>
    <n v="854"/>
    <n v="129"/>
    <n v="310903"/>
    <n v="7.83"/>
    <n v="16875"/>
    <n v="725"/>
    <n v="2.3319170287838973E-3"/>
  </r>
  <r>
    <x v="15"/>
    <x v="0"/>
    <n v="681"/>
    <n v="210"/>
    <n v="248581"/>
    <n v="8.76"/>
    <n v="9567"/>
    <n v="471"/>
    <n v="1.8947546272643525E-3"/>
  </r>
  <r>
    <x v="15"/>
    <x v="1"/>
    <n v="1373"/>
    <n v="82"/>
    <n v="371015"/>
    <n v="9.52"/>
    <n v="20306"/>
    <n v="1291"/>
    <n v="3.4796436801746559E-3"/>
  </r>
  <r>
    <x v="15"/>
    <x v="2"/>
    <n v="685"/>
    <n v="285"/>
    <n v="177452"/>
    <n v="3.36"/>
    <n v="21134"/>
    <n v="400"/>
    <n v="2.2541306944976669E-3"/>
  </r>
  <r>
    <x v="16"/>
    <x v="0"/>
    <n v="1290"/>
    <n v="177"/>
    <n v="80745"/>
    <n v="9.2200000000000006"/>
    <n v="26872"/>
    <n v="1113"/>
    <n v="1.3784135240572171E-2"/>
  </r>
  <r>
    <x v="16"/>
    <x v="1"/>
    <n v="1437"/>
    <n v="239"/>
    <n v="362441"/>
    <n v="5.57"/>
    <n v="10253"/>
    <n v="1198"/>
    <n v="3.305365562946797E-3"/>
  </r>
  <r>
    <x v="16"/>
    <x v="2"/>
    <n v="769"/>
    <n v="295"/>
    <n v="344771"/>
    <n v="8.06"/>
    <n v="23963"/>
    <n v="474"/>
    <n v="1.3748256088824177E-3"/>
  </r>
  <r>
    <x v="17"/>
    <x v="0"/>
    <n v="1416"/>
    <n v="284"/>
    <n v="374952"/>
    <n v="3.45"/>
    <n v="11335"/>
    <n v="1132"/>
    <n v="3.0190531054641659E-3"/>
  </r>
  <r>
    <x v="17"/>
    <x v="1"/>
    <n v="998"/>
    <n v="154"/>
    <n v="179781"/>
    <n v="9.58"/>
    <n v="12115"/>
    <n v="844"/>
    <n v="4.6946006530167259E-3"/>
  </r>
  <r>
    <x v="17"/>
    <x v="2"/>
    <n v="1421"/>
    <n v="246"/>
    <n v="358581"/>
    <n v="8.8800000000000008"/>
    <n v="24358"/>
    <n v="1175"/>
    <n v="3.2768049617799048E-3"/>
  </r>
  <r>
    <x v="18"/>
    <x v="0"/>
    <n v="764"/>
    <n v="205"/>
    <n v="319294"/>
    <n v="6.23"/>
    <n v="12181"/>
    <n v="559"/>
    <n v="1.7507375647522346E-3"/>
  </r>
  <r>
    <x v="18"/>
    <x v="1"/>
    <n v="678"/>
    <n v="124"/>
    <n v="192022"/>
    <n v="8.4499999999999993"/>
    <n v="17729"/>
    <n v="554"/>
    <n v="2.8850860838862216E-3"/>
  </r>
  <r>
    <x v="18"/>
    <x v="2"/>
    <n v="1328"/>
    <n v="103"/>
    <n v="151462"/>
    <n v="8.4"/>
    <n v="10881"/>
    <n v="1225"/>
    <n v="8.0878372132944243E-3"/>
  </r>
  <r>
    <x v="19"/>
    <x v="0"/>
    <n v="1161"/>
    <n v="269"/>
    <n v="188193"/>
    <n v="7.34"/>
    <n v="18576"/>
    <n v="892"/>
    <n v="4.7398149771776844E-3"/>
  </r>
  <r>
    <x v="19"/>
    <x v="1"/>
    <n v="588"/>
    <n v="52"/>
    <n v="292040"/>
    <n v="8.14"/>
    <n v="9383"/>
    <n v="536"/>
    <n v="1.8353650184906177E-3"/>
  </r>
  <r>
    <x v="19"/>
    <x v="2"/>
    <n v="1457"/>
    <n v="215"/>
    <n v="325325"/>
    <n v="9.58"/>
    <n v="14178"/>
    <n v="1242"/>
    <n v="3.8177207407976638E-3"/>
  </r>
  <r>
    <x v="20"/>
    <x v="0"/>
    <n v="1190"/>
    <n v="242"/>
    <n v="86849"/>
    <n v="8.06"/>
    <n v="21254"/>
    <n v="948"/>
    <n v="1.0915497012055407E-2"/>
  </r>
  <r>
    <x v="20"/>
    <x v="1"/>
    <n v="886"/>
    <n v="124"/>
    <n v="141161"/>
    <n v="8.19"/>
    <n v="14215"/>
    <n v="762"/>
    <n v="5.3980915408646862E-3"/>
  </r>
  <r>
    <x v="20"/>
    <x v="2"/>
    <n v="1237"/>
    <n v="155"/>
    <n v="149916"/>
    <n v="4.4800000000000004"/>
    <n v="16921"/>
    <n v="1082"/>
    <n v="7.2173750633688196E-3"/>
  </r>
  <r>
    <x v="21"/>
    <x v="0"/>
    <n v="1435"/>
    <n v="261"/>
    <n v="308533"/>
    <n v="4.5199999999999996"/>
    <n v="25130"/>
    <n v="1174"/>
    <n v="3.8051035059458792E-3"/>
  </r>
  <r>
    <x v="21"/>
    <x v="1"/>
    <n v="746"/>
    <n v="282"/>
    <n v="293894"/>
    <n v="5.42"/>
    <n v="25537"/>
    <n v="464"/>
    <n v="1.5788005199153436E-3"/>
  </r>
  <r>
    <x v="21"/>
    <x v="2"/>
    <n v="759"/>
    <n v="216"/>
    <n v="147656"/>
    <n v="4.08"/>
    <n v="24943"/>
    <n v="543"/>
    <n v="3.6774665438586984E-3"/>
  </r>
  <r>
    <x v="22"/>
    <x v="0"/>
    <n v="1437"/>
    <n v="235"/>
    <n v="326791"/>
    <n v="4.0599999999999996"/>
    <n v="14563"/>
    <n v="1202"/>
    <n v="3.6781918718691762E-3"/>
  </r>
  <r>
    <x v="22"/>
    <x v="1"/>
    <n v="1463"/>
    <n v="73"/>
    <n v="348877"/>
    <n v="9.91"/>
    <n v="26273"/>
    <n v="1390"/>
    <n v="3.9842122008616216E-3"/>
  </r>
  <r>
    <x v="22"/>
    <x v="2"/>
    <n v="1208"/>
    <n v="224"/>
    <n v="122730"/>
    <n v="8.7200000000000006"/>
    <n v="10858"/>
    <n v="984"/>
    <n v="8.0175996088975802E-3"/>
  </r>
  <r>
    <x v="23"/>
    <x v="0"/>
    <n v="1391"/>
    <n v="187"/>
    <n v="306508"/>
    <n v="8.3800000000000008"/>
    <n v="25038"/>
    <n v="1204"/>
    <n v="3.9281193313061976E-3"/>
  </r>
  <r>
    <x v="23"/>
    <x v="1"/>
    <n v="655"/>
    <n v="123"/>
    <n v="202472"/>
    <n v="7.56"/>
    <n v="9092"/>
    <n v="532"/>
    <n v="2.6275238057607967E-3"/>
  </r>
  <r>
    <x v="23"/>
    <x v="2"/>
    <n v="1148"/>
    <n v="90"/>
    <n v="227249"/>
    <n v="7.24"/>
    <n v="17662"/>
    <n v="1058"/>
    <n v="4.6556860536239985E-3"/>
  </r>
  <r>
    <x v="24"/>
    <x v="0"/>
    <n v="946"/>
    <n v="270"/>
    <n v="246567"/>
    <n v="4.53"/>
    <n v="5924"/>
    <n v="676"/>
    <n v="2.741648314656868E-3"/>
  </r>
  <r>
    <x v="24"/>
    <x v="1"/>
    <n v="791"/>
    <n v="214"/>
    <n v="114738"/>
    <n v="6.62"/>
    <n v="25347"/>
    <n v="577"/>
    <n v="5.0288483327232481E-3"/>
  </r>
  <r>
    <x v="24"/>
    <x v="2"/>
    <n v="793"/>
    <n v="111"/>
    <n v="333500"/>
    <n v="6.36"/>
    <n v="8910"/>
    <n v="682"/>
    <n v="2.0449775112443779E-3"/>
  </r>
  <r>
    <x v="25"/>
    <x v="0"/>
    <n v="663"/>
    <n v="213"/>
    <n v="352677"/>
    <n v="9"/>
    <n v="20438"/>
    <n v="450"/>
    <n v="1.2759550523566889E-3"/>
  </r>
  <r>
    <x v="25"/>
    <x v="1"/>
    <n v="954"/>
    <n v="271"/>
    <n v="160936"/>
    <n v="8.83"/>
    <n v="8760"/>
    <n v="683"/>
    <n v="4.2439230501565839E-3"/>
  </r>
  <r>
    <x v="25"/>
    <x v="2"/>
    <n v="1313"/>
    <n v="159"/>
    <n v="197183"/>
    <n v="9.7100000000000009"/>
    <n v="6625"/>
    <n v="1154"/>
    <n v="5.8524314976443207E-3"/>
  </r>
  <r>
    <x v="26"/>
    <x v="0"/>
    <n v="895"/>
    <n v="87"/>
    <n v="171271"/>
    <n v="6.68"/>
    <n v="23329"/>
    <n v="808"/>
    <n v="4.7176696580273365E-3"/>
  </r>
  <r>
    <x v="26"/>
    <x v="1"/>
    <n v="1027"/>
    <n v="156"/>
    <n v="111293"/>
    <n v="5.51"/>
    <n v="7299"/>
    <n v="871"/>
    <n v="7.8261885293774095E-3"/>
  </r>
  <r>
    <x v="26"/>
    <x v="2"/>
    <n v="990"/>
    <n v="286"/>
    <n v="351493"/>
    <n v="7.97"/>
    <n v="14496"/>
    <n v="704"/>
    <n v="2.0028848369668811E-3"/>
  </r>
  <r>
    <x v="27"/>
    <x v="0"/>
    <n v="875"/>
    <n v="264"/>
    <n v="345631"/>
    <n v="9.18"/>
    <n v="25703"/>
    <n v="611"/>
    <n v="1.7677812464738406E-3"/>
  </r>
  <r>
    <x v="27"/>
    <x v="1"/>
    <n v="599"/>
    <n v="194"/>
    <n v="105622"/>
    <n v="6.44"/>
    <n v="15108"/>
    <n v="405"/>
    <n v="3.8344284334702996E-3"/>
  </r>
  <r>
    <x v="27"/>
    <x v="2"/>
    <n v="630"/>
    <n v="248"/>
    <n v="119054"/>
    <n v="5.0199999999999996"/>
    <n v="18867"/>
    <n v="382"/>
    <n v="3.2086280175382597E-3"/>
  </r>
  <r>
    <x v="28"/>
    <x v="0"/>
    <n v="1350"/>
    <n v="233"/>
    <n v="171670"/>
    <n v="4.53"/>
    <n v="17574"/>
    <n v="1117"/>
    <n v="6.506669773402458E-3"/>
  </r>
  <r>
    <x v="28"/>
    <x v="1"/>
    <n v="632"/>
    <n v="155"/>
    <n v="170432"/>
    <n v="9.17"/>
    <n v="12840"/>
    <n v="477"/>
    <n v="2.7987701840030041E-3"/>
  </r>
  <r>
    <x v="28"/>
    <x v="2"/>
    <n v="1182"/>
    <n v="83"/>
    <n v="140300"/>
    <n v="3.27"/>
    <n v="21079"/>
    <n v="1099"/>
    <n v="7.8332145402708487E-3"/>
  </r>
  <r>
    <x v="29"/>
    <x v="0"/>
    <n v="661"/>
    <n v="94"/>
    <n v="116538"/>
    <n v="5.31"/>
    <n v="23486"/>
    <n v="567"/>
    <n v="4.8653658034289241E-3"/>
  </r>
  <r>
    <x v="29"/>
    <x v="1"/>
    <n v="1360"/>
    <n v="227"/>
    <n v="176902"/>
    <n v="6.03"/>
    <n v="5960"/>
    <n v="1133"/>
    <n v="6.4046760353189906E-3"/>
  </r>
  <r>
    <x v="29"/>
    <x v="2"/>
    <n v="935"/>
    <n v="85"/>
    <n v="326821"/>
    <n v="8.89"/>
    <n v="13301"/>
    <n v="850"/>
    <n v="2.60081206532016E-3"/>
  </r>
  <r>
    <x v="30"/>
    <x v="0"/>
    <n v="664"/>
    <n v="251"/>
    <n v="240598"/>
    <n v="4.79"/>
    <n v="10563"/>
    <n v="413"/>
    <n v="1.7165562473503519E-3"/>
  </r>
  <r>
    <x v="30"/>
    <x v="1"/>
    <n v="1490"/>
    <n v="103"/>
    <n v="373274"/>
    <n v="4.8"/>
    <n v="19949"/>
    <n v="1387"/>
    <n v="3.7157691133055076E-3"/>
  </r>
  <r>
    <x v="30"/>
    <x v="2"/>
    <n v="601"/>
    <n v="64"/>
    <n v="123272"/>
    <n v="4.07"/>
    <n v="14273"/>
    <n v="537"/>
    <n v="4.3562203906807708E-3"/>
  </r>
  <r>
    <x v="31"/>
    <x v="0"/>
    <n v="613"/>
    <n v="170"/>
    <n v="139266"/>
    <n v="6.06"/>
    <n v="9247"/>
    <n v="443"/>
    <n v="3.1809630491290049E-3"/>
  </r>
  <r>
    <x v="31"/>
    <x v="1"/>
    <n v="1340"/>
    <n v="57"/>
    <n v="155927"/>
    <n v="7.79"/>
    <n v="11972"/>
    <n v="1283"/>
    <n v="8.2282093543773697E-3"/>
  </r>
  <r>
    <x v="31"/>
    <x v="2"/>
    <n v="953"/>
    <n v="228"/>
    <n v="258398"/>
    <n v="9.0500000000000007"/>
    <n v="13314"/>
    <n v="725"/>
    <n v="2.8057492705051896E-3"/>
  </r>
  <r>
    <x v="32"/>
    <x v="0"/>
    <n v="532"/>
    <n v="65"/>
    <n v="338561"/>
    <n v="3.5"/>
    <n v="14749"/>
    <n v="467"/>
    <n v="1.3793673813581599E-3"/>
  </r>
  <r>
    <x v="32"/>
    <x v="1"/>
    <n v="1414"/>
    <n v="60"/>
    <n v="341856"/>
    <n v="8.76"/>
    <n v="6868"/>
    <n v="1354"/>
    <n v="3.960732004118693E-3"/>
  </r>
  <r>
    <x v="32"/>
    <x v="2"/>
    <n v="685"/>
    <n v="165"/>
    <n v="175860"/>
    <n v="6.26"/>
    <n v="6027"/>
    <n v="520"/>
    <n v="2.9568975321278288E-3"/>
  </r>
  <r>
    <x v="33"/>
    <x v="0"/>
    <n v="601"/>
    <n v="159"/>
    <n v="327722"/>
    <n v="3.33"/>
    <n v="25267"/>
    <n v="442"/>
    <n v="1.3487040845594743E-3"/>
  </r>
  <r>
    <x v="33"/>
    <x v="1"/>
    <n v="841"/>
    <n v="295"/>
    <n v="271638"/>
    <n v="9.15"/>
    <n v="5900"/>
    <n v="546"/>
    <n v="2.0100280520398473E-3"/>
  </r>
  <r>
    <x v="33"/>
    <x v="2"/>
    <n v="1105"/>
    <n v="261"/>
    <n v="333851"/>
    <n v="6.03"/>
    <n v="11181"/>
    <n v="844"/>
    <n v="2.5280739012313877E-3"/>
  </r>
  <r>
    <x v="34"/>
    <x v="0"/>
    <n v="566"/>
    <n v="225"/>
    <n v="368984"/>
    <n v="9.82"/>
    <n v="9592"/>
    <n v="341"/>
    <n v="9.2415931314094918E-4"/>
  </r>
  <r>
    <x v="34"/>
    <x v="1"/>
    <n v="1149"/>
    <n v="280"/>
    <n v="167310"/>
    <n v="3.7"/>
    <n v="5291"/>
    <n v="869"/>
    <n v="5.1939513477975013E-3"/>
  </r>
  <r>
    <x v="34"/>
    <x v="2"/>
    <n v="819"/>
    <n v="101"/>
    <n v="194811"/>
    <n v="3.35"/>
    <n v="22244"/>
    <n v="718"/>
    <n v="3.685623501752981E-3"/>
  </r>
  <r>
    <x v="35"/>
    <x v="0"/>
    <n v="795"/>
    <n v="60"/>
    <n v="314982"/>
    <n v="7.31"/>
    <n v="6824"/>
    <n v="735"/>
    <n v="2.3334666742861497E-3"/>
  </r>
  <r>
    <x v="35"/>
    <x v="1"/>
    <n v="681"/>
    <n v="158"/>
    <n v="75960"/>
    <n v="3.13"/>
    <n v="24112"/>
    <n v="523"/>
    <n v="6.8852027382833069E-3"/>
  </r>
  <r>
    <x v="35"/>
    <x v="2"/>
    <n v="534"/>
    <n v="112"/>
    <n v="360759"/>
    <n v="4.8899999999999997"/>
    <n v="25478"/>
    <n v="422"/>
    <n v="1.1697559866836308E-3"/>
  </r>
  <r>
    <x v="36"/>
    <x v="0"/>
    <n v="1066"/>
    <n v="151"/>
    <n v="297090"/>
    <n v="8.6300000000000008"/>
    <n v="11235"/>
    <n v="915"/>
    <n v="3.0798747854185599E-3"/>
  </r>
  <r>
    <x v="36"/>
    <x v="1"/>
    <n v="1270"/>
    <n v="162"/>
    <n v="92040"/>
    <n v="8.0299999999999994"/>
    <n v="6120"/>
    <n v="1108"/>
    <n v="1.2038244241634072E-2"/>
  </r>
  <r>
    <x v="36"/>
    <x v="2"/>
    <n v="536"/>
    <n v="198"/>
    <n v="174610"/>
    <n v="7.85"/>
    <n v="20572"/>
    <n v="338"/>
    <n v="1.9357425118836263E-3"/>
  </r>
  <r>
    <x v="37"/>
    <x v="0"/>
    <n v="819"/>
    <n v="95"/>
    <n v="177376"/>
    <n v="6.12"/>
    <n v="14975"/>
    <n v="724"/>
    <n v="4.0817246978170664E-3"/>
  </r>
  <r>
    <x v="37"/>
    <x v="1"/>
    <n v="681"/>
    <n v="218"/>
    <n v="198882"/>
    <n v="7.16"/>
    <n v="22234"/>
    <n v="463"/>
    <n v="2.3280135960016494E-3"/>
  </r>
  <r>
    <x v="37"/>
    <x v="2"/>
    <n v="646"/>
    <n v="290"/>
    <n v="336383"/>
    <n v="7.04"/>
    <n v="6532"/>
    <n v="356"/>
    <n v="1.0583174536168594E-3"/>
  </r>
  <r>
    <x v="38"/>
    <x v="0"/>
    <n v="645"/>
    <n v="267"/>
    <n v="346890"/>
    <n v="3.71"/>
    <n v="24858"/>
    <n v="378"/>
    <n v="1.0896826083196401E-3"/>
  </r>
  <r>
    <x v="38"/>
    <x v="1"/>
    <n v="886"/>
    <n v="250"/>
    <n v="168170"/>
    <n v="4.12"/>
    <n v="13883"/>
    <n v="636"/>
    <n v="3.7818873758696555E-3"/>
  </r>
  <r>
    <x v="38"/>
    <x v="2"/>
    <n v="978"/>
    <n v="279"/>
    <n v="368872"/>
    <n v="6.82"/>
    <n v="18654"/>
    <n v="699"/>
    <n v="1.8949662755644234E-3"/>
  </r>
  <r>
    <x v="39"/>
    <x v="0"/>
    <n v="1444"/>
    <n v="165"/>
    <n v="116436"/>
    <n v="8.2200000000000006"/>
    <n v="25234"/>
    <n v="1279"/>
    <n v="1.0984575217286749E-2"/>
  </r>
  <r>
    <x v="39"/>
    <x v="1"/>
    <n v="1234"/>
    <n v="228"/>
    <n v="127502"/>
    <n v="7.71"/>
    <n v="6772"/>
    <n v="1006"/>
    <n v="7.8900723125911749E-3"/>
  </r>
  <r>
    <x v="39"/>
    <x v="2"/>
    <n v="665"/>
    <n v="187"/>
    <n v="274567"/>
    <n v="7.39"/>
    <n v="22428"/>
    <n v="478"/>
    <n v="1.7409229805475531E-3"/>
  </r>
  <r>
    <x v="40"/>
    <x v="0"/>
    <n v="631"/>
    <n v="86"/>
    <n v="295090"/>
    <n v="7.89"/>
    <n v="11911"/>
    <n v="545"/>
    <n v="1.8468941678809856E-3"/>
  </r>
  <r>
    <x v="40"/>
    <x v="1"/>
    <n v="1159"/>
    <n v="154"/>
    <n v="194994"/>
    <n v="6.39"/>
    <n v="21900"/>
    <n v="1005"/>
    <n v="5.1540047386073422E-3"/>
  </r>
  <r>
    <x v="40"/>
    <x v="2"/>
    <n v="950"/>
    <n v="185"/>
    <n v="340750"/>
    <n v="6.77"/>
    <n v="25542"/>
    <n v="765"/>
    <n v="2.2450476889214967E-3"/>
  </r>
  <r>
    <x v="41"/>
    <x v="0"/>
    <n v="693"/>
    <n v="129"/>
    <n v="296031"/>
    <n v="3.41"/>
    <n v="7140"/>
    <n v="564"/>
    <n v="1.9052058737091724E-3"/>
  </r>
  <r>
    <x v="41"/>
    <x v="1"/>
    <n v="576"/>
    <n v="80"/>
    <n v="345688"/>
    <n v="4.1100000000000003"/>
    <n v="20474"/>
    <n v="496"/>
    <n v="1.4348198375413667E-3"/>
  </r>
  <r>
    <x v="41"/>
    <x v="2"/>
    <n v="1274"/>
    <n v="146"/>
    <n v="263488"/>
    <n v="9.58"/>
    <n v="8698"/>
    <n v="1128"/>
    <n v="4.2810298761233904E-3"/>
  </r>
  <r>
    <x v="42"/>
    <x v="0"/>
    <n v="818"/>
    <n v="253"/>
    <n v="184911"/>
    <n v="3.39"/>
    <n v="10402"/>
    <n v="565"/>
    <n v="3.0555240088474996E-3"/>
  </r>
  <r>
    <x v="42"/>
    <x v="1"/>
    <n v="975"/>
    <n v="162"/>
    <n v="124497"/>
    <n v="9.58"/>
    <n v="26618"/>
    <n v="813"/>
    <n v="6.5302778380201933E-3"/>
  </r>
  <r>
    <x v="42"/>
    <x v="2"/>
    <n v="1398"/>
    <n v="97"/>
    <n v="397607"/>
    <n v="5.09"/>
    <n v="7975"/>
    <n v="1301"/>
    <n v="3.2720751898231166E-3"/>
  </r>
  <r>
    <x v="43"/>
    <x v="0"/>
    <n v="591"/>
    <n v="155"/>
    <n v="138521"/>
    <n v="7.85"/>
    <n v="19054"/>
    <n v="436"/>
    <n v="3.1475371965261584E-3"/>
  </r>
  <r>
    <x v="43"/>
    <x v="1"/>
    <n v="1232"/>
    <n v="254"/>
    <n v="107718"/>
    <n v="9.7100000000000009"/>
    <n v="13740"/>
    <n v="978"/>
    <n v="9.0792625187990864E-3"/>
  </r>
  <r>
    <x v="43"/>
    <x v="2"/>
    <n v="1425"/>
    <n v="58"/>
    <n v="202234"/>
    <n v="6.67"/>
    <n v="18442"/>
    <n v="1367"/>
    <n v="6.7594964249334932E-3"/>
  </r>
  <r>
    <x v="44"/>
    <x v="0"/>
    <n v="1417"/>
    <n v="80"/>
    <n v="340987"/>
    <n v="6.13"/>
    <n v="10104"/>
    <n v="1337"/>
    <n v="3.9209705941868752E-3"/>
  </r>
  <r>
    <x v="44"/>
    <x v="1"/>
    <n v="1222"/>
    <n v="208"/>
    <n v="340098"/>
    <n v="7.34"/>
    <n v="21771"/>
    <n v="1014"/>
    <n v="2.9814935695005556E-3"/>
  </r>
  <r>
    <x v="44"/>
    <x v="2"/>
    <n v="1071"/>
    <n v="131"/>
    <n v="254727"/>
    <n v="6.87"/>
    <n v="22191"/>
    <n v="940"/>
    <n v="3.6902252215116576E-3"/>
  </r>
  <r>
    <x v="45"/>
    <x v="0"/>
    <n v="772"/>
    <n v="82"/>
    <n v="345659"/>
    <n v="3.52"/>
    <n v="27753"/>
    <n v="690"/>
    <n v="1.9961869935398759E-3"/>
  </r>
  <r>
    <x v="45"/>
    <x v="1"/>
    <n v="1472"/>
    <n v="137"/>
    <n v="213950"/>
    <n v="6.96"/>
    <n v="23736"/>
    <n v="1335"/>
    <n v="6.2397756485160086E-3"/>
  </r>
  <r>
    <x v="45"/>
    <x v="2"/>
    <n v="1472"/>
    <n v="281"/>
    <n v="258115"/>
    <n v="7.23"/>
    <n v="27393"/>
    <n v="1191"/>
    <n v="4.6142223427541986E-3"/>
  </r>
  <r>
    <x v="46"/>
    <x v="0"/>
    <n v="585"/>
    <n v="232"/>
    <n v="321258"/>
    <n v="7.42"/>
    <n v="10343"/>
    <n v="353"/>
    <n v="1.0988053215795403E-3"/>
  </r>
  <r>
    <x v="46"/>
    <x v="1"/>
    <n v="747"/>
    <n v="261"/>
    <n v="338650"/>
    <n v="7.73"/>
    <n v="25259"/>
    <n v="486"/>
    <n v="1.4351099955706482E-3"/>
  </r>
  <r>
    <x v="46"/>
    <x v="2"/>
    <n v="1113"/>
    <n v="224"/>
    <n v="272989"/>
    <n v="5.13"/>
    <n v="24827"/>
    <n v="889"/>
    <n v="3.2565414723670183E-3"/>
  </r>
  <r>
    <x v="47"/>
    <x v="0"/>
    <n v="1100"/>
    <n v="117"/>
    <n v="260204"/>
    <n v="4.4000000000000004"/>
    <n v="11908"/>
    <n v="983"/>
    <n v="3.7778051067623862E-3"/>
  </r>
  <r>
    <x v="47"/>
    <x v="1"/>
    <n v="751"/>
    <n v="170"/>
    <n v="283278"/>
    <n v="3.49"/>
    <n v="11005"/>
    <n v="581"/>
    <n v="2.0509887813384732E-3"/>
  </r>
  <r>
    <x v="47"/>
    <x v="2"/>
    <n v="864"/>
    <n v="50"/>
    <n v="277445"/>
    <n v="3.57"/>
    <n v="26333"/>
    <n v="814"/>
    <n v="2.9339148299662998E-3"/>
  </r>
  <r>
    <x v="48"/>
    <x v="0"/>
    <n v="1146"/>
    <n v="227"/>
    <n v="353781"/>
    <n v="6.41"/>
    <n v="5495"/>
    <n v="919"/>
    <n v="2.5976522198761379E-3"/>
  </r>
  <r>
    <x v="48"/>
    <x v="1"/>
    <n v="883"/>
    <n v="207"/>
    <n v="265019"/>
    <n v="6.04"/>
    <n v="15655"/>
    <n v="676"/>
    <n v="2.5507605115104954E-3"/>
  </r>
  <r>
    <x v="48"/>
    <x v="2"/>
    <n v="622"/>
    <n v="163"/>
    <n v="231925"/>
    <n v="9.18"/>
    <n v="13763"/>
    <n v="459"/>
    <n v="1.9790880672631238E-3"/>
  </r>
  <r>
    <x v="49"/>
    <x v="0"/>
    <n v="837"/>
    <n v="261"/>
    <n v="366149"/>
    <n v="6.54"/>
    <n v="26073"/>
    <n v="576"/>
    <n v="1.5731300645365684E-3"/>
  </r>
  <r>
    <x v="49"/>
    <x v="1"/>
    <n v="544"/>
    <n v="97"/>
    <n v="168375"/>
    <n v="8.66"/>
    <n v="12774"/>
    <n v="447"/>
    <n v="2.6547884187082403E-3"/>
  </r>
  <r>
    <x v="49"/>
    <x v="2"/>
    <n v="624"/>
    <n v="247"/>
    <n v="252763"/>
    <n v="3.89"/>
    <n v="19000"/>
    <n v="377"/>
    <n v="1.4915157677349929E-3"/>
  </r>
  <r>
    <x v="50"/>
    <x v="0"/>
    <n v="1073"/>
    <n v="141"/>
    <n v="118393"/>
    <n v="7.95"/>
    <n v="14051"/>
    <n v="932"/>
    <n v="7.872087032172511E-3"/>
  </r>
  <r>
    <x v="50"/>
    <x v="1"/>
    <n v="1430"/>
    <n v="74"/>
    <n v="327012"/>
    <n v="6.66"/>
    <n v="27782"/>
    <n v="1356"/>
    <n v="4.1466368206671319E-3"/>
  </r>
  <r>
    <x v="50"/>
    <x v="2"/>
    <n v="1358"/>
    <n v="77"/>
    <n v="169688"/>
    <n v="5.25"/>
    <n v="7859"/>
    <n v="1281"/>
    <n v="7.5491490264485411E-3"/>
  </r>
  <r>
    <x v="51"/>
    <x v="0"/>
    <n v="1242"/>
    <n v="201"/>
    <n v="271935"/>
    <n v="5.07"/>
    <n v="15773"/>
    <n v="1041"/>
    <n v="3.8281206906062111E-3"/>
  </r>
  <r>
    <x v="51"/>
    <x v="1"/>
    <n v="1389"/>
    <n v="205"/>
    <n v="315981"/>
    <n v="7.62"/>
    <n v="20595"/>
    <n v="1184"/>
    <n v="3.7470607409939207E-3"/>
  </r>
  <r>
    <x v="51"/>
    <x v="2"/>
    <n v="826"/>
    <n v="142"/>
    <n v="341016"/>
    <n v="7.44"/>
    <n v="12031"/>
    <n v="684"/>
    <n v="2.005770990217468E-3"/>
  </r>
  <r>
    <x v="52"/>
    <x v="0"/>
    <n v="618"/>
    <n v="264"/>
    <n v="285164"/>
    <n v="4.8600000000000003"/>
    <n v="15128"/>
    <n v="354"/>
    <n v="1.2413909189098204E-3"/>
  </r>
  <r>
    <x v="52"/>
    <x v="1"/>
    <n v="1419"/>
    <n v="293"/>
    <n v="116632"/>
    <n v="6.93"/>
    <n v="11826"/>
    <n v="1126"/>
    <n v="9.6542972769051369E-3"/>
  </r>
  <r>
    <x v="52"/>
    <x v="2"/>
    <n v="637"/>
    <n v="68"/>
    <n v="115694"/>
    <n v="9.99"/>
    <n v="12562"/>
    <n v="569"/>
    <n v="4.9181461441388493E-3"/>
  </r>
  <r>
    <x v="53"/>
    <x v="0"/>
    <n v="917"/>
    <n v="187"/>
    <n v="64444"/>
    <n v="5.22"/>
    <n v="13013"/>
    <n v="730"/>
    <n v="1.1327664328719508E-2"/>
  </r>
  <r>
    <x v="53"/>
    <x v="1"/>
    <n v="810"/>
    <n v="232"/>
    <n v="362559"/>
    <n v="5.17"/>
    <n v="12937"/>
    <n v="578"/>
    <n v="1.5942232850377457E-3"/>
  </r>
  <r>
    <x v="53"/>
    <x v="2"/>
    <n v="1183"/>
    <n v="248"/>
    <n v="226881"/>
    <n v="5.17"/>
    <n v="14534"/>
    <n v="935"/>
    <n v="4.1211031333606603E-3"/>
  </r>
  <r>
    <x v="54"/>
    <x v="0"/>
    <n v="765"/>
    <n v="67"/>
    <n v="283537"/>
    <n v="6.18"/>
    <n v="8182"/>
    <n v="698"/>
    <n v="2.4617598408673293E-3"/>
  </r>
  <r>
    <x v="54"/>
    <x v="1"/>
    <n v="540"/>
    <n v="215"/>
    <n v="62837"/>
    <n v="5.3"/>
    <n v="10615"/>
    <n v="325"/>
    <n v="5.1721119722456512E-3"/>
  </r>
  <r>
    <x v="54"/>
    <x v="2"/>
    <n v="1145"/>
    <n v="151"/>
    <n v="182759"/>
    <n v="5.99"/>
    <n v="20109"/>
    <n v="994"/>
    <n v="5.4388566363352828E-3"/>
  </r>
  <r>
    <x v="55"/>
    <x v="0"/>
    <n v="564"/>
    <n v="244"/>
    <n v="279405"/>
    <n v="8.43"/>
    <n v="26024"/>
    <n v="320"/>
    <n v="1.1452908859898713E-3"/>
  </r>
  <r>
    <x v="55"/>
    <x v="1"/>
    <n v="668"/>
    <n v="124"/>
    <n v="257485"/>
    <n v="7.55"/>
    <n v="26730"/>
    <n v="544"/>
    <n v="2.1127444317144686E-3"/>
  </r>
  <r>
    <x v="55"/>
    <x v="2"/>
    <n v="761"/>
    <n v="241"/>
    <n v="154977"/>
    <n v="5.63"/>
    <n v="10563"/>
    <n v="520"/>
    <n v="3.3553365983339462E-3"/>
  </r>
  <r>
    <x v="56"/>
    <x v="0"/>
    <n v="593"/>
    <n v="108"/>
    <n v="216500"/>
    <n v="4.71"/>
    <n v="27575"/>
    <n v="485"/>
    <n v="2.2401847575057735E-3"/>
  </r>
  <r>
    <x v="56"/>
    <x v="1"/>
    <n v="1349"/>
    <n v="115"/>
    <n v="102102"/>
    <n v="5.28"/>
    <n v="14479"/>
    <n v="1234"/>
    <n v="1.208595326242385E-2"/>
  </r>
  <r>
    <x v="56"/>
    <x v="2"/>
    <n v="693"/>
    <n v="97"/>
    <n v="92025"/>
    <n v="5.95"/>
    <n v="15915"/>
    <n v="596"/>
    <n v="6.4765009508285796E-3"/>
  </r>
  <r>
    <x v="57"/>
    <x v="0"/>
    <n v="974"/>
    <n v="143"/>
    <n v="247965"/>
    <n v="9.98"/>
    <n v="12767"/>
    <n v="831"/>
    <n v="3.3512794144334888E-3"/>
  </r>
  <r>
    <x v="57"/>
    <x v="1"/>
    <n v="1155"/>
    <n v="122"/>
    <n v="387352"/>
    <n v="9.93"/>
    <n v="12170"/>
    <n v="1033"/>
    <n v="2.6668250067122413E-3"/>
  </r>
  <r>
    <x v="57"/>
    <x v="2"/>
    <n v="1051"/>
    <n v="246"/>
    <n v="253985"/>
    <n v="9.08"/>
    <n v="7245"/>
    <n v="805"/>
    <n v="3.1694785125105812E-3"/>
  </r>
  <r>
    <x v="58"/>
    <x v="0"/>
    <n v="1457"/>
    <n v="183"/>
    <n v="129640"/>
    <n v="7.98"/>
    <n v="12985"/>
    <n v="1274"/>
    <n v="9.827213822894169E-3"/>
  </r>
  <r>
    <x v="58"/>
    <x v="1"/>
    <n v="670"/>
    <n v="242"/>
    <n v="281913"/>
    <n v="9.6199999999999992"/>
    <n v="16377"/>
    <n v="428"/>
    <n v="1.5181988769584942E-3"/>
  </r>
  <r>
    <x v="58"/>
    <x v="2"/>
    <n v="1111"/>
    <n v="159"/>
    <n v="360770"/>
    <n v="8.7100000000000009"/>
    <n v="11453"/>
    <n v="952"/>
    <n v="2.6388003437092886E-3"/>
  </r>
  <r>
    <x v="59"/>
    <x v="0"/>
    <n v="1197"/>
    <n v="246"/>
    <n v="127273"/>
    <n v="6.69"/>
    <n v="12323"/>
    <n v="951"/>
    <n v="7.4721268454424738E-3"/>
  </r>
  <r>
    <x v="59"/>
    <x v="1"/>
    <n v="754"/>
    <n v="150"/>
    <n v="189622"/>
    <n v="4.25"/>
    <n v="11911"/>
    <n v="604"/>
    <n v="3.1852844079273504E-3"/>
  </r>
  <r>
    <x v="59"/>
    <x v="2"/>
    <n v="1246"/>
    <n v="107"/>
    <n v="350949"/>
    <n v="4.9800000000000004"/>
    <n v="27809"/>
    <n v="1139"/>
    <n v="3.2454858113287115E-3"/>
  </r>
  <r>
    <x v="60"/>
    <x v="0"/>
    <n v="780"/>
    <n v="213"/>
    <n v="121431"/>
    <n v="4.97"/>
    <n v="21464"/>
    <n v="567"/>
    <n v="4.669318378338316E-3"/>
  </r>
  <r>
    <x v="60"/>
    <x v="1"/>
    <n v="1425"/>
    <n v="143"/>
    <n v="116742"/>
    <n v="3.71"/>
    <n v="27126"/>
    <n v="1282"/>
    <n v="1.0981480529715098E-2"/>
  </r>
  <r>
    <x v="60"/>
    <x v="2"/>
    <n v="1490"/>
    <n v="103"/>
    <n v="81184"/>
    <n v="7.79"/>
    <n v="10681"/>
    <n v="1387"/>
    <n v="1.7084647221127316E-2"/>
  </r>
  <r>
    <x v="61"/>
    <x v="0"/>
    <n v="949"/>
    <n v="282"/>
    <n v="87126"/>
    <n v="4.96"/>
    <n v="5413"/>
    <n v="667"/>
    <n v="7.6555792759910937E-3"/>
  </r>
  <r>
    <x v="61"/>
    <x v="1"/>
    <n v="640"/>
    <n v="141"/>
    <n v="267546"/>
    <n v="8.58"/>
    <n v="25058"/>
    <n v="499"/>
    <n v="1.8650998332996943E-3"/>
  </r>
  <r>
    <x v="61"/>
    <x v="2"/>
    <n v="616"/>
    <n v="93"/>
    <n v="133082"/>
    <n v="8.51"/>
    <n v="18303"/>
    <n v="523"/>
    <n v="3.9299078763469142E-3"/>
  </r>
  <r>
    <x v="62"/>
    <x v="0"/>
    <n v="1080"/>
    <n v="184"/>
    <n v="340557"/>
    <n v="5.41"/>
    <n v="5526"/>
    <n v="896"/>
    <n v="2.6309839468870114E-3"/>
  </r>
  <r>
    <x v="62"/>
    <x v="1"/>
    <n v="938"/>
    <n v="236"/>
    <n v="116472"/>
    <n v="8.7200000000000006"/>
    <n v="17460"/>
    <n v="702"/>
    <n v="6.0271996703070265E-3"/>
  </r>
  <r>
    <x v="62"/>
    <x v="2"/>
    <n v="1007"/>
    <n v="258"/>
    <n v="113412"/>
    <n v="7.71"/>
    <n v="14475"/>
    <n v="749"/>
    <n v="6.6042394102916796E-3"/>
  </r>
  <r>
    <x v="63"/>
    <x v="0"/>
    <n v="541"/>
    <n v="208"/>
    <n v="157547"/>
    <n v="8.35"/>
    <n v="20162"/>
    <n v="333"/>
    <n v="2.1136549728017671E-3"/>
  </r>
  <r>
    <x v="63"/>
    <x v="1"/>
    <n v="745"/>
    <n v="98"/>
    <n v="354816"/>
    <n v="4.03"/>
    <n v="17103"/>
    <n v="647"/>
    <n v="1.823480339105339E-3"/>
  </r>
  <r>
    <x v="63"/>
    <x v="2"/>
    <n v="936"/>
    <n v="97"/>
    <n v="151799"/>
    <n v="9.3699999999999992"/>
    <n v="15461"/>
    <n v="839"/>
    <n v="5.5270456327116777E-3"/>
  </r>
  <r>
    <x v="64"/>
    <x v="0"/>
    <n v="1183"/>
    <n v="223"/>
    <n v="143811"/>
    <n v="6.07"/>
    <n v="22103"/>
    <n v="960"/>
    <n v="6.6754281661347186E-3"/>
  </r>
  <r>
    <x v="64"/>
    <x v="1"/>
    <n v="1413"/>
    <n v="245"/>
    <n v="296450"/>
    <n v="6.52"/>
    <n v="11625"/>
    <n v="1168"/>
    <n v="3.9399561477483558E-3"/>
  </r>
  <r>
    <x v="64"/>
    <x v="2"/>
    <n v="791"/>
    <n v="273"/>
    <n v="144049"/>
    <n v="3.08"/>
    <n v="5281"/>
    <n v="518"/>
    <n v="3.5959985838152297E-3"/>
  </r>
  <r>
    <x v="65"/>
    <x v="0"/>
    <n v="1052"/>
    <n v="180"/>
    <n v="272534"/>
    <n v="5.34"/>
    <n v="13424"/>
    <n v="872"/>
    <n v="3.1996007837554212E-3"/>
  </r>
  <r>
    <x v="65"/>
    <x v="1"/>
    <n v="572"/>
    <n v="270"/>
    <n v="82265"/>
    <n v="3.65"/>
    <n v="13140"/>
    <n v="302"/>
    <n v="3.6710630280192063E-3"/>
  </r>
  <r>
    <x v="65"/>
    <x v="2"/>
    <n v="503"/>
    <n v="253"/>
    <n v="313562"/>
    <n v="4.18"/>
    <n v="19538"/>
    <n v="250"/>
    <n v="7.9729048800556194E-4"/>
  </r>
  <r>
    <x v="66"/>
    <x v="0"/>
    <n v="1017"/>
    <n v="197"/>
    <n v="89918"/>
    <n v="3.91"/>
    <n v="7881"/>
    <n v="820"/>
    <n v="9.1194199159233963E-3"/>
  </r>
  <r>
    <x v="66"/>
    <x v="1"/>
    <n v="860"/>
    <n v="244"/>
    <n v="348686"/>
    <n v="5.12"/>
    <n v="11418"/>
    <n v="616"/>
    <n v="1.7666324429429343E-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SP001"/>
    <x v="0"/>
    <d v="2025-05-04T00:00:00"/>
    <x v="0"/>
    <s v="Discover fresh beats on Spotify!"/>
    <n v="2414"/>
    <n v="245"/>
    <n v="137"/>
    <n v="21181"/>
    <n v="45292"/>
    <n v="133"/>
    <s v="#SoundtrackOfLife"/>
    <s v="#NowPlaying"/>
    <x v="0"/>
    <n v="0.13200509890939999"/>
  </r>
  <r>
    <s v="SP002"/>
    <x v="0"/>
    <d v="2025-02-01T00:00:00"/>
    <x v="0"/>
    <s v="Explore the latest podcasts now."/>
    <n v="1934"/>
    <n v="210"/>
    <n v="393"/>
    <n v="29129"/>
    <n v="73287"/>
    <n v="273"/>
    <s v="#DiscoverWeekly"/>
    <m/>
    <x v="1"/>
    <n v="8.7095334546328396E-2"/>
  </r>
  <r>
    <s v="SP003"/>
    <x v="1"/>
    <d v="2024-12-03T00:00:00"/>
    <x v="1"/>
    <s v="New music just dropped. Hit play!"/>
    <n v="3092"/>
    <n v="177"/>
    <n v="81"/>
    <n v="47533"/>
    <n v="29220"/>
    <n v="121"/>
    <s v="#MusicForEveryone"/>
    <s v="#NowPlaying"/>
    <x v="0"/>
    <n v="7.0477352576105018E-2"/>
  </r>
  <r>
    <s v="SP004"/>
    <x v="0"/>
    <d v="2024-12-03T00:00:00"/>
    <x v="0"/>
    <s v="Wrapped is here! Relive your top tracks ðŸŽ§"/>
    <n v="3173"/>
    <n v="229"/>
    <n v="197"/>
    <n v="29604"/>
    <n v="21809"/>
    <n v="272"/>
    <s v="#SoundtrackOfLife"/>
    <s v="#NowPlaying"/>
    <x v="0"/>
    <n v="0.1215714092690177"/>
  </r>
  <r>
    <s v="SP005"/>
    <x v="2"/>
    <d v="2024-04-06T00:00:00"/>
    <x v="0"/>
    <s v="Music that moves youâ€”only on Spotify."/>
    <n v="2748"/>
    <n v="145"/>
    <n v="315"/>
    <n v="24401"/>
    <n v="61182"/>
    <n v="200"/>
    <s v="#DiscoverWeekly"/>
    <s v="#SpotifyWrapped"/>
    <x v="1"/>
    <n v="0.1314700217204213"/>
  </r>
  <r>
    <s v="SP006"/>
    <x v="2"/>
    <d v="2024-06-13T00:00:00"/>
    <x v="0"/>
    <s v="Whatâ€™s your vibe today? #SpotifyHits"/>
    <n v="3882"/>
    <n v="239"/>
    <n v="275"/>
    <n v="58748"/>
    <n v="44646"/>
    <n v="149"/>
    <s v="#DiscoverWeekly"/>
    <s v="#SpotifyWrapped"/>
    <x v="1"/>
    <n v="7.4828079253761837E-2"/>
  </r>
  <r>
    <s v="SP007"/>
    <x v="1"/>
    <d v="2024-12-19T00:00:00"/>
    <x v="1"/>
    <s v="Get into the groove with our new drop!"/>
    <n v="4674"/>
    <n v="409"/>
    <n v="327"/>
    <n v="20756"/>
    <n v="63599"/>
    <n v="212"/>
    <s v="#SoundtrackOfLife"/>
    <s v="#NowPlaying"/>
    <x v="0"/>
    <n v="0.26064752360763155"/>
  </r>
  <r>
    <s v="SP008"/>
    <x v="1"/>
    <d v="2024-05-09T00:00:00"/>
    <x v="1"/>
    <s v="Wrapped is here! Relive your top tracks ðŸŽ§"/>
    <n v="1428"/>
    <n v="347"/>
    <n v="67"/>
    <n v="21148"/>
    <n v="19712"/>
    <n v="120"/>
    <s v="#DiscoverWeekly"/>
    <s v="#MusicForEveryone"/>
    <x v="0"/>
    <n v="8.7100435029317191E-2"/>
  </r>
  <r>
    <s v="SP009"/>
    <x v="1"/>
    <d v="2025-06-15T00:00:00"/>
    <x v="0"/>
    <s v="Top trending tracks updated daily!"/>
    <n v="4432"/>
    <n v="223"/>
    <n v="299"/>
    <n v="59016"/>
    <n v="21742"/>
    <n v="171"/>
    <s v="#NowPlaying"/>
    <m/>
    <x v="0"/>
    <n v="8.3943337400027115E-2"/>
  </r>
  <r>
    <s v="SP010"/>
    <x v="1"/>
    <d v="2024-12-04T00:00:00"/>
    <x v="0"/>
    <s v="Wrapped is here! Relive your top tracks ðŸŽ§"/>
    <n v="2357"/>
    <n v="274"/>
    <n v="172"/>
    <n v="21566"/>
    <n v="66829"/>
    <n v="284"/>
    <s v="#NowPlaying"/>
    <m/>
    <x v="0"/>
    <n v="0.12997310581470833"/>
  </r>
  <r>
    <s v="SP011"/>
    <x v="1"/>
    <d v="2024-03-06T00:00:00"/>
    <x v="0"/>
    <s v="Discover fresh beats on Spotify!"/>
    <n v="1971"/>
    <n v="370"/>
    <n v="306"/>
    <n v="31316"/>
    <n v="27897"/>
    <n v="88"/>
    <s v="#SoundtrackOfLife"/>
    <m/>
    <x v="1"/>
    <n v="8.4525482181632389E-2"/>
  </r>
  <r>
    <s v="SP012"/>
    <x v="0"/>
    <d v="2024-05-14T00:00:00"/>
    <x v="0"/>
    <s v="Discover fresh beats on Spotify!"/>
    <n v="1485"/>
    <n v="353"/>
    <n v="244"/>
    <n v="38419"/>
    <n v="38556"/>
    <n v="86"/>
    <s v="#SoundtrackOfLife"/>
    <s v="#NowPlaying"/>
    <x v="0"/>
    <n v="5.4191936281527367E-2"/>
  </r>
  <r>
    <s v="SP013"/>
    <x v="1"/>
    <d v="2025-06-18T00:00:00"/>
    <x v="1"/>
    <s v="Discover fresh beats on Spotify!"/>
    <n v="3956"/>
    <n v="319"/>
    <n v="61"/>
    <n v="58162"/>
    <n v="28720"/>
    <n v="213"/>
    <s v="#MusicForEveryone"/>
    <s v="#NowPlaying"/>
    <x v="0"/>
    <n v="7.4550393727863554E-2"/>
  </r>
  <r>
    <s v="SP014"/>
    <x v="1"/>
    <d v="2024-10-08T00:00:00"/>
    <x v="0"/>
    <s v="From pop to podcasts, itâ€™s all here."/>
    <n v="2460"/>
    <n v="409"/>
    <n v="253"/>
    <n v="36702"/>
    <n v="46122"/>
    <n v="264"/>
    <s v="#NowPlaying"/>
    <m/>
    <x v="0"/>
    <n v="8.5063484278785892E-2"/>
  </r>
  <r>
    <s v="SP015"/>
    <x v="1"/>
    <d v="2024-05-06T00:00:00"/>
    <x v="0"/>
    <s v="Your weekend playlist is waiting."/>
    <n v="3476"/>
    <n v="355"/>
    <n v="396"/>
    <n v="37492"/>
    <n v="27285"/>
    <n v="179"/>
    <s v="#NowPlaying"/>
    <m/>
    <x v="0"/>
    <n v="0.11274405206444041"/>
  </r>
  <r>
    <s v="SP016"/>
    <x v="1"/>
    <d v="2024-12-29T00:00:00"/>
    <x v="1"/>
    <s v="New music just dropped. Hit play!"/>
    <n v="4049"/>
    <n v="377"/>
    <n v="94"/>
    <n v="48182"/>
    <n v="42875"/>
    <n v="172"/>
    <s v="#MusicForEveryone"/>
    <s v="#NowPlaying"/>
    <x v="0"/>
    <n v="9.3810966751068869E-2"/>
  </r>
  <r>
    <s v="SP017"/>
    <x v="1"/>
    <d v="2024-06-10T00:00:00"/>
    <x v="0"/>
    <s v="Whatâ€™s your vibe today? #SpotifyHits"/>
    <n v="1514"/>
    <n v="164"/>
    <n v="275"/>
    <n v="41364"/>
    <n v="44389"/>
    <n v="83"/>
    <s v="#NowPlaying"/>
    <m/>
    <x v="0"/>
    <n v="4.7214969538729328E-2"/>
  </r>
  <r>
    <s v="SP018"/>
    <x v="0"/>
    <d v="2024-02-03T00:00:00"/>
    <x v="1"/>
    <s v="Music that moves youâ€”only on Spotify."/>
    <n v="4281"/>
    <n v="101"/>
    <n v="163"/>
    <n v="32278"/>
    <n v="53382"/>
    <n v="235"/>
    <s v="#NowPlaying"/>
    <m/>
    <x v="2"/>
    <n v="0.1408079806679472"/>
  </r>
  <r>
    <s v="SP019"/>
    <x v="2"/>
    <d v="2024-06-15T00:00:00"/>
    <x v="2"/>
    <s v="Get into the groove with our new drop!"/>
    <n v="1751"/>
    <n v="143"/>
    <n v="151"/>
    <n v="31826"/>
    <n v="47729"/>
    <n v="95"/>
    <s v="#DiscoverWeekly"/>
    <s v="#SoundtrackOfLife"/>
    <x v="3"/>
    <n v="6.4255640042732362E-2"/>
  </r>
  <r>
    <s v="SP020"/>
    <x v="0"/>
    <d v="2024-07-05T00:00:00"/>
    <x v="0"/>
    <s v="Your weekend playlist is waiting."/>
    <n v="3753"/>
    <n v="411"/>
    <n v="308"/>
    <n v="29138"/>
    <n v="27678"/>
    <n v="90"/>
    <s v="#DiscoverWeekly"/>
    <m/>
    <x v="1"/>
    <n v="0.15347655981879332"/>
  </r>
  <r>
    <s v="SP021"/>
    <x v="0"/>
    <d v="2024-11-07T00:00:00"/>
    <x v="1"/>
    <s v="Wrapped is here! Relive your top tracks ðŸŽ§"/>
    <n v="1678"/>
    <n v="423"/>
    <n v="323"/>
    <n v="55668"/>
    <n v="37945"/>
    <n v="230"/>
    <s v="#NowPlaying"/>
    <m/>
    <x v="2"/>
    <n v="4.3543867212761371E-2"/>
  </r>
  <r>
    <s v="SP022"/>
    <x v="0"/>
    <d v="2025-06-15T00:00:00"/>
    <x v="0"/>
    <s v="Whatâ€™s your vibe today? #SpotifyHits"/>
    <n v="4896"/>
    <n v="466"/>
    <n v="233"/>
    <n v="28621"/>
    <n v="34270"/>
    <n v="84"/>
    <s v="#SoundtrackOfLife"/>
    <s v="#NowPlaying"/>
    <x v="0"/>
    <n v="0.19548583208133888"/>
  </r>
  <r>
    <s v="SP023"/>
    <x v="2"/>
    <d v="2024-06-09T00:00:00"/>
    <x v="2"/>
    <s v="From pop to podcasts, itâ€™s all here."/>
    <n v="2786"/>
    <n v="368"/>
    <n v="208"/>
    <n v="42000"/>
    <n v="39967"/>
    <n v="103"/>
    <s v="#DiscoverWeekly"/>
    <s v="#SoundtrackOfLife"/>
    <x v="3"/>
    <n v="8.0047619047619048E-2"/>
  </r>
  <r>
    <s v="SP024"/>
    <x v="1"/>
    <d v="2024-10-18T00:00:00"/>
    <x v="0"/>
    <s v="New music just dropped. Hit play!"/>
    <n v="2607"/>
    <n v="379"/>
    <n v="180"/>
    <n v="28712"/>
    <n v="61620"/>
    <n v="174"/>
    <s v="#SoundtrackOfLife"/>
    <m/>
    <x v="1"/>
    <n v="0.11026748397882419"/>
  </r>
  <r>
    <s v="SP025"/>
    <x v="2"/>
    <d v="2024-10-10T00:00:00"/>
    <x v="2"/>
    <s v="From pop to podcasts, itâ€™s all here."/>
    <n v="4013"/>
    <n v="320"/>
    <n v="92"/>
    <n v="54605"/>
    <n v="60169"/>
    <n v="232"/>
    <s v="#DiscoverWeekly"/>
    <s v="#SoundtrackOfLife"/>
    <x v="3"/>
    <n v="8.1036535115831879E-2"/>
  </r>
  <r>
    <s v="SP026"/>
    <x v="1"/>
    <d v="2025-05-14T00:00:00"/>
    <x v="1"/>
    <s v="From pop to podcasts, itâ€™s all here."/>
    <n v="2707"/>
    <n v="103"/>
    <n v="51"/>
    <n v="55302"/>
    <n v="18801"/>
    <n v="147"/>
    <s v="#DiscoverWeekly"/>
    <s v="#MusicForEveryone"/>
    <x v="0"/>
    <n v="5.173411449857148E-2"/>
  </r>
  <r>
    <s v="SP027"/>
    <x v="0"/>
    <d v="2024-11-29T00:00:00"/>
    <x v="0"/>
    <s v="Whatâ€™s your vibe today? #SpotifyHits"/>
    <n v="2824"/>
    <n v="425"/>
    <n v="274"/>
    <n v="31004"/>
    <n v="53488"/>
    <n v="268"/>
    <s v="#SoundtrackOfLife"/>
    <s v="#NowPlaying"/>
    <x v="0"/>
    <n v="0.11363049929041415"/>
  </r>
  <r>
    <s v="SP028"/>
    <x v="2"/>
    <d v="2024-03-05T00:00:00"/>
    <x v="2"/>
    <s v="Explore the latest podcasts now."/>
    <n v="3558"/>
    <n v="314"/>
    <n v="199"/>
    <n v="49612"/>
    <n v="53929"/>
    <n v="206"/>
    <s v="#DiscoverWeekly"/>
    <s v="#SoundtrackOfLife"/>
    <x v="3"/>
    <n v="8.205676046117874E-2"/>
  </r>
  <r>
    <s v="SP029"/>
    <x v="1"/>
    <d v="2025-03-18T00:00:00"/>
    <x v="1"/>
    <s v="Explore the latest podcasts now."/>
    <n v="3418"/>
    <n v="188"/>
    <n v="387"/>
    <n v="57431"/>
    <n v="36933"/>
    <n v="202"/>
    <s v="#MusicForEveryone"/>
    <s v="#NowPlaying"/>
    <x v="0"/>
    <n v="6.9526910553533799E-2"/>
  </r>
  <r>
    <s v="SP030"/>
    <x v="1"/>
    <d v="2025-04-26T00:00:00"/>
    <x v="0"/>
    <s v="Discover fresh beats on Spotify!"/>
    <n v="2411"/>
    <n v="194"/>
    <n v="168"/>
    <n v="26665"/>
    <n v="71699"/>
    <n v="197"/>
    <s v="#NowPlaying"/>
    <m/>
    <x v="0"/>
    <n v="0.10399399962497656"/>
  </r>
  <r>
    <s v="SP031"/>
    <x v="0"/>
    <d v="2025-01-01T00:00:00"/>
    <x v="0"/>
    <s v="New music just dropped. Hit play!"/>
    <n v="4036"/>
    <n v="112"/>
    <n v="382"/>
    <n v="56284"/>
    <n v="29440"/>
    <n v="279"/>
    <s v="#SoundtrackOfLife"/>
    <s v="#NowPlaying"/>
    <x v="0"/>
    <n v="8.0484684812735408E-2"/>
  </r>
  <r>
    <s v="SP032"/>
    <x v="1"/>
    <d v="2024-05-07T00:00:00"/>
    <x v="1"/>
    <s v="Explore the latest podcasts now."/>
    <n v="2776"/>
    <n v="307"/>
    <n v="178"/>
    <n v="43365"/>
    <n v="48408"/>
    <n v="138"/>
    <s v="#SoundtrackOfLife"/>
    <s v="#NowPlaying"/>
    <x v="0"/>
    <n v="7.519889311656866E-2"/>
  </r>
  <r>
    <s v="SP033"/>
    <x v="1"/>
    <d v="2024-10-09T00:00:00"/>
    <x v="1"/>
    <s v="Discover fresh beats on Spotify!"/>
    <n v="4929"/>
    <n v="182"/>
    <n v="95"/>
    <n v="32181"/>
    <n v="31084"/>
    <n v="289"/>
    <s v="#DiscoverWeekly"/>
    <s v="#MusicForEveryone"/>
    <x v="0"/>
    <n v="0.16177247444144061"/>
  </r>
  <r>
    <s v="SP034"/>
    <x v="0"/>
    <d v="2025-01-09T00:00:00"/>
    <x v="0"/>
    <s v="New music just dropped. Hit play!"/>
    <n v="1015"/>
    <n v="366"/>
    <n v="308"/>
    <n v="38127"/>
    <n v="63790"/>
    <n v="287"/>
    <s v="#SoundtrackOfLife"/>
    <s v="#NowPlaying"/>
    <x v="0"/>
    <n v="4.4299315445747112E-2"/>
  </r>
  <r>
    <s v="SP035"/>
    <x v="1"/>
    <d v="2025-05-08T00:00:00"/>
    <x v="1"/>
    <s v="Your weekend playlist is waiting."/>
    <n v="3316"/>
    <n v="332"/>
    <n v="268"/>
    <n v="40095"/>
    <n v="36913"/>
    <n v="265"/>
    <s v="#MusicForEveryone"/>
    <s v="#NowPlaying"/>
    <x v="0"/>
    <n v="9.7668038408779148E-2"/>
  </r>
  <r>
    <s v="SP036"/>
    <x v="0"/>
    <d v="2024-05-04T00:00:00"/>
    <x v="0"/>
    <s v="Wrapped is here! Relive your top tracks ðŸŽ§"/>
    <n v="2274"/>
    <n v="243"/>
    <n v="222"/>
    <n v="43066"/>
    <n v="59174"/>
    <n v="80"/>
    <s v="#DiscoverWeekly"/>
    <m/>
    <x v="1"/>
    <n v="6.3600055728416843E-2"/>
  </r>
  <r>
    <s v="SP037"/>
    <x v="1"/>
    <d v="2025-05-27T00:00:00"/>
    <x v="1"/>
    <s v="Explore the latest podcasts now."/>
    <n v="4095"/>
    <n v="385"/>
    <n v="400"/>
    <n v="45300"/>
    <n v="31795"/>
    <n v="80"/>
    <s v="#MusicForEveryone"/>
    <s v="#NowPlaying"/>
    <x v="0"/>
    <n v="0.10772626931567329"/>
  </r>
  <r>
    <s v="SP038"/>
    <x v="0"/>
    <d v="2024-09-10T00:00:00"/>
    <x v="1"/>
    <s v="New music just dropped. Hit play!"/>
    <n v="1230"/>
    <n v="309"/>
    <n v="207"/>
    <n v="44629"/>
    <n v="40699"/>
    <n v="195"/>
    <s v="#NowPlaying"/>
    <m/>
    <x v="2"/>
    <n v="3.9122543637545096E-2"/>
  </r>
  <r>
    <s v="SP039"/>
    <x v="0"/>
    <d v="2024-11-25T00:00:00"/>
    <x v="0"/>
    <s v="From pop to podcasts, itâ€™s all here."/>
    <n v="1341"/>
    <n v="472"/>
    <n v="238"/>
    <n v="51386"/>
    <n v="51706"/>
    <n v="133"/>
    <s v="#DiscoverWeekly"/>
    <m/>
    <x v="1"/>
    <n v="3.9913595142645857E-2"/>
  </r>
  <r>
    <s v="SP040"/>
    <x v="1"/>
    <d v="2025-06-10T00:00:00"/>
    <x v="0"/>
    <s v="Explore the latest podcasts now."/>
    <n v="3615"/>
    <n v="192"/>
    <n v="162"/>
    <n v="27492"/>
    <n v="35341"/>
    <n v="125"/>
    <s v="#NowPlaying"/>
    <m/>
    <x v="0"/>
    <n v="0.14436927106067218"/>
  </r>
  <r>
    <s v="SP041"/>
    <x v="0"/>
    <d v="2024-04-19T00:00:00"/>
    <x v="0"/>
    <s v="New music just dropped. Hit play!"/>
    <n v="4001"/>
    <n v="353"/>
    <n v="129"/>
    <n v="41265"/>
    <n v="37279"/>
    <n v="275"/>
    <s v="#SoundtrackOfLife"/>
    <s v="#NowPlaying"/>
    <x v="0"/>
    <n v="0.10863928268508422"/>
  </r>
  <r>
    <s v="SP042"/>
    <x v="0"/>
    <d v="2025-01-26T00:00:00"/>
    <x v="1"/>
    <s v="Whatâ€™s your vibe today? #SpotifyHits"/>
    <n v="3451"/>
    <n v="363"/>
    <n v="393"/>
    <n v="44853"/>
    <n v="69032"/>
    <n v="211"/>
    <s v="#NowPlaying"/>
    <m/>
    <x v="2"/>
    <n v="9.379528682585335E-2"/>
  </r>
  <r>
    <s v="SP043"/>
    <x v="0"/>
    <d v="2025-02-14T00:00:00"/>
    <x v="0"/>
    <s v="Top trending tracks updated daily!"/>
    <n v="4891"/>
    <n v="450"/>
    <n v="387"/>
    <n v="48746"/>
    <n v="37312"/>
    <n v="154"/>
    <s v="#SoundtrackOfLife"/>
    <s v="#NowPlaying"/>
    <x v="0"/>
    <n v="0.11750707750379519"/>
  </r>
  <r>
    <s v="SP044"/>
    <x v="0"/>
    <d v="2024-09-06T00:00:00"/>
    <x v="0"/>
    <s v="New music just dropped. Hit play!"/>
    <n v="1452"/>
    <n v="281"/>
    <n v="326"/>
    <n v="51556"/>
    <n v="62599"/>
    <n v="290"/>
    <s v="#DiscoverWeekly"/>
    <m/>
    <x v="1"/>
    <n v="3.9937155714174881E-2"/>
  </r>
  <r>
    <s v="SP045"/>
    <x v="2"/>
    <d v="2024-07-14T00:00:00"/>
    <x v="0"/>
    <s v="Your weekend playlist is waiting."/>
    <n v="3806"/>
    <n v="114"/>
    <n v="278"/>
    <n v="36148"/>
    <n v="24209"/>
    <n v="201"/>
    <s v="#DiscoverWeekly"/>
    <s v="#SpotifyWrapped"/>
    <x v="1"/>
    <n v="0.11613367267898639"/>
  </r>
  <r>
    <s v="SP046"/>
    <x v="0"/>
    <d v="2024-02-12T00:00:00"/>
    <x v="0"/>
    <s v="Explore the latest podcasts now."/>
    <n v="2923"/>
    <n v="330"/>
    <n v="250"/>
    <n v="23993"/>
    <n v="74590"/>
    <n v="92"/>
    <s v="#DiscoverWeekly"/>
    <m/>
    <x v="1"/>
    <n v="0.14600091693410577"/>
  </r>
  <r>
    <s v="SP047"/>
    <x v="2"/>
    <d v="2024-03-14T00:00:00"/>
    <x v="2"/>
    <s v="From pop to podcasts, itâ€™s all here."/>
    <n v="3361"/>
    <n v="188"/>
    <n v="358"/>
    <n v="39838"/>
    <n v="24536"/>
    <n v="120"/>
    <s v="#DiscoverWeekly"/>
    <s v="#SoundtrackOfLife"/>
    <x v="3"/>
    <n v="9.8072192379135503E-2"/>
  </r>
  <r>
    <s v="SP048"/>
    <x v="0"/>
    <d v="2025-02-05T00:00:00"/>
    <x v="1"/>
    <s v="Music that moves youâ€”only on Spotify."/>
    <n v="3074"/>
    <n v="371"/>
    <n v="348"/>
    <n v="24104"/>
    <n v="57803"/>
    <n v="213"/>
    <s v="#NowPlaying"/>
    <m/>
    <x v="2"/>
    <n v="0.15735977431131762"/>
  </r>
  <r>
    <s v="SP049"/>
    <x v="1"/>
    <d v="2024-08-29T00:00:00"/>
    <x v="1"/>
    <s v="Get into the groove with our new drop!"/>
    <n v="4276"/>
    <n v="227"/>
    <n v="223"/>
    <n v="43443"/>
    <n v="41005"/>
    <n v="191"/>
    <s v="#DiscoverWeekly"/>
    <s v="#MusicForEveryone"/>
    <x v="0"/>
    <n v="0.1087862256289851"/>
  </r>
  <r>
    <s v="SP050"/>
    <x v="1"/>
    <d v="2025-04-22T00:00:00"/>
    <x v="0"/>
    <s v="Discover fresh beats on Spotify!"/>
    <n v="4401"/>
    <n v="421"/>
    <n v="216"/>
    <n v="24890"/>
    <n v="54361"/>
    <n v="148"/>
    <s v="#NowPlaying"/>
    <m/>
    <x v="0"/>
    <n v="0.20241060666934513"/>
  </r>
  <r>
    <s v="SP051"/>
    <x v="2"/>
    <d v="2024-05-13T00:00:00"/>
    <x v="2"/>
    <s v="Explore the latest podcasts now."/>
    <n v="4161"/>
    <n v="481"/>
    <n v="61"/>
    <n v="45884"/>
    <n v="48955"/>
    <n v="215"/>
    <s v="#DiscoverWeekly"/>
    <s v="#SoundtrackOfLife"/>
    <x v="3"/>
    <n v="0.10249760265016128"/>
  </r>
  <r>
    <s v="SP052"/>
    <x v="1"/>
    <d v="2024-09-04T00:00:00"/>
    <x v="1"/>
    <s v="New music just dropped. Hit play!"/>
    <n v="2613"/>
    <n v="455"/>
    <n v="228"/>
    <n v="21645"/>
    <n v="61334"/>
    <n v="261"/>
    <s v="#DiscoverWeekly"/>
    <s v="#MusicForEveryone"/>
    <x v="0"/>
    <n v="0.15227535227535227"/>
  </r>
  <r>
    <s v="SP053"/>
    <x v="1"/>
    <d v="2024-08-12T00:00:00"/>
    <x v="1"/>
    <s v="Whatâ€™s your vibe today? #SpotifyHits"/>
    <n v="2842"/>
    <n v="213"/>
    <n v="331"/>
    <n v="57660"/>
    <n v="68606"/>
    <n v="87"/>
    <s v="#MusicForEveryone"/>
    <s v="#NowPlaying"/>
    <x v="0"/>
    <n v="5.8723551855705859E-2"/>
  </r>
  <r>
    <s v="SP054"/>
    <x v="0"/>
    <d v="2025-03-06T00:00:00"/>
    <x v="0"/>
    <s v="Get into the groove with our new drop!"/>
    <n v="4851"/>
    <n v="460"/>
    <n v="212"/>
    <n v="58075"/>
    <n v="59574"/>
    <n v="239"/>
    <s v="#DiscoverWeekly"/>
    <m/>
    <x v="1"/>
    <n v="9.5101162290142052E-2"/>
  </r>
  <r>
    <s v="SP055"/>
    <x v="1"/>
    <d v="2024-05-08T00:00:00"/>
    <x v="0"/>
    <s v="Explore the latest podcasts now."/>
    <n v="1828"/>
    <n v="450"/>
    <n v="214"/>
    <n v="52115"/>
    <n v="19166"/>
    <n v="190"/>
    <s v="#NowPlaying"/>
    <m/>
    <x v="0"/>
    <n v="4.781732706514439E-2"/>
  </r>
  <r>
    <s v="SP056"/>
    <x v="0"/>
    <d v="2025-02-19T00:00:00"/>
    <x v="1"/>
    <s v="From pop to podcasts, itâ€™s all here."/>
    <n v="2422"/>
    <n v="455"/>
    <n v="376"/>
    <n v="23428"/>
    <n v="46775"/>
    <n v="259"/>
    <s v="#NowPlaying"/>
    <m/>
    <x v="2"/>
    <n v="0.13885094758408742"/>
  </r>
  <r>
    <s v="SP057"/>
    <x v="0"/>
    <d v="2024-01-08T00:00:00"/>
    <x v="0"/>
    <s v="Top trending tracks updated daily!"/>
    <n v="2683"/>
    <n v="405"/>
    <n v="223"/>
    <n v="31233"/>
    <n v="58106"/>
    <n v="291"/>
    <s v="#DiscoverWeekly"/>
    <m/>
    <x v="1"/>
    <n v="0.10600966926007749"/>
  </r>
  <r>
    <s v="SP058"/>
    <x v="2"/>
    <d v="2024-07-17T00:00:00"/>
    <x v="0"/>
    <s v="Top trending tracks updated daily!"/>
    <n v="3135"/>
    <n v="110"/>
    <n v="215"/>
    <n v="39192"/>
    <n v="24744"/>
    <n v="177"/>
    <s v="#DiscoverWeekly"/>
    <s v="#SpotifyWrapped"/>
    <x v="1"/>
    <n v="8.8283323127168814E-2"/>
  </r>
  <r>
    <s v="SP059"/>
    <x v="2"/>
    <d v="2024-08-10T00:00:00"/>
    <x v="0"/>
    <s v="From pop to podcasts, itâ€™s all here."/>
    <n v="1105"/>
    <n v="181"/>
    <n v="55"/>
    <n v="53581"/>
    <n v="74048"/>
    <n v="220"/>
    <s v="#DiscoverWeekly"/>
    <s v="#SpotifyWrapped"/>
    <x v="1"/>
    <n v="2.50275284149232E-2"/>
  </r>
  <r>
    <s v="SP060"/>
    <x v="2"/>
    <d v="2024-04-16T00:00:00"/>
    <x v="0"/>
    <s v="Discover fresh beats on Spotify!"/>
    <n v="4674"/>
    <n v="326"/>
    <n v="62"/>
    <n v="45503"/>
    <n v="46814"/>
    <n v="116"/>
    <s v="#DiscoverWeekly"/>
    <s v="#SpotifyWrapped"/>
    <x v="1"/>
    <n v="0.11124541239039185"/>
  </r>
  <r>
    <s v="SP061"/>
    <x v="2"/>
    <d v="2024-01-01T00:00:00"/>
    <x v="2"/>
    <s v="Explore the latest podcasts now."/>
    <n v="3437"/>
    <n v="129"/>
    <n v="359"/>
    <n v="44558"/>
    <n v="30854"/>
    <n v="171"/>
    <s v="#DiscoverWeekly"/>
    <s v="#SoundtrackOfLife"/>
    <x v="3"/>
    <n v="8.8087436599488311E-2"/>
  </r>
  <r>
    <s v="SP062"/>
    <x v="1"/>
    <d v="2024-11-03T00:00:00"/>
    <x v="1"/>
    <s v="Wrapped is here! Relive your top tracks ðŸŽ§"/>
    <n v="1959"/>
    <n v="316"/>
    <n v="82"/>
    <n v="54036"/>
    <n v="69015"/>
    <n v="182"/>
    <s v="#MusicForEveryone"/>
    <s v="#NowPlaying"/>
    <x v="0"/>
    <n v="4.3619068768968837E-2"/>
  </r>
  <r>
    <s v="SP063"/>
    <x v="1"/>
    <d v="2024-07-07T00:00:00"/>
    <x v="0"/>
    <s v="New music just dropped. Hit play!"/>
    <n v="1035"/>
    <n v="137"/>
    <n v="184"/>
    <n v="37302"/>
    <n v="68953"/>
    <n v="237"/>
    <s v="#SoundtrackOfLife"/>
    <m/>
    <x v="1"/>
    <n v="3.6351938233874857E-2"/>
  </r>
  <r>
    <s v="SP064"/>
    <x v="1"/>
    <d v="2025-01-22T00:00:00"/>
    <x v="1"/>
    <s v="New music just dropped. Hit play!"/>
    <n v="4478"/>
    <n v="101"/>
    <n v="121"/>
    <n v="51035"/>
    <n v="58207"/>
    <n v="205"/>
    <s v="#MusicForEveryone"/>
    <s v="#NowPlaying"/>
    <x v="0"/>
    <n v="9.2093661212893113E-2"/>
  </r>
  <r>
    <s v="SP065"/>
    <x v="2"/>
    <d v="2024-05-26T00:00:00"/>
    <x v="0"/>
    <s v="From pop to podcasts, itâ€™s all here."/>
    <n v="1488"/>
    <n v="327"/>
    <n v="110"/>
    <n v="53805"/>
    <n v="30239"/>
    <n v="109"/>
    <s v="#DiscoverWeekly"/>
    <s v="#SpotifyWrapped"/>
    <x v="1"/>
    <n v="3.5777344113000653E-2"/>
  </r>
  <r>
    <s v="SP066"/>
    <x v="0"/>
    <d v="2025-04-16T00:00:00"/>
    <x v="0"/>
    <s v="Wrapped is here! Relive your top tracks ðŸŽ§"/>
    <n v="4836"/>
    <n v="331"/>
    <n v="140"/>
    <n v="58792"/>
    <n v="47711"/>
    <n v="227"/>
    <s v="#SoundtrackOfLife"/>
    <s v="#NowPlaying"/>
    <x v="0"/>
    <n v="9.0267383317458164E-2"/>
  </r>
  <r>
    <s v="SP067"/>
    <x v="2"/>
    <d v="2024-04-02T00:00:00"/>
    <x v="2"/>
    <s v="Your weekend playlist is waiting."/>
    <n v="4563"/>
    <n v="488"/>
    <n v="356"/>
    <n v="30619"/>
    <n v="23328"/>
    <n v="267"/>
    <s v="#DiscoverWeekly"/>
    <s v="#SoundtrackOfLife"/>
    <x v="3"/>
    <n v="0.17658969920637513"/>
  </r>
  <r>
    <s v="SP068"/>
    <x v="1"/>
    <d v="2024-03-28T00:00:00"/>
    <x v="0"/>
    <s v="Music that moves youâ€”only on Spotify."/>
    <n v="3276"/>
    <n v="421"/>
    <n v="114"/>
    <n v="20580"/>
    <n v="30324"/>
    <n v="221"/>
    <s v="#SoundtrackOfLife"/>
    <m/>
    <x v="1"/>
    <n v="0.18517978620019437"/>
  </r>
  <r>
    <s v="SP069"/>
    <x v="1"/>
    <d v="2024-12-17T00:00:00"/>
    <x v="1"/>
    <s v="Music that moves youâ€”only on Spotify."/>
    <n v="1316"/>
    <n v="472"/>
    <n v="286"/>
    <n v="44692"/>
    <n v="53343"/>
    <n v="227"/>
    <s v="#DiscoverWeekly"/>
    <s v="#MusicForEveryone"/>
    <x v="0"/>
    <n v="4.6406515707509172E-2"/>
  </r>
  <r>
    <s v="SP070"/>
    <x v="1"/>
    <d v="2025-01-05T00:00:00"/>
    <x v="0"/>
    <s v="Wrapped is here! Relive your top tracks ðŸŽ§"/>
    <n v="4811"/>
    <n v="473"/>
    <n v="254"/>
    <n v="51964"/>
    <n v="68795"/>
    <n v="107"/>
    <s v="#NowPlaying"/>
    <m/>
    <x v="0"/>
    <n v="0.10657378184897237"/>
  </r>
  <r>
    <s v="SP071"/>
    <x v="1"/>
    <d v="2024-01-11T00:00:00"/>
    <x v="0"/>
    <s v="Whatâ€™s your vibe today? #SpotifyHits"/>
    <n v="4218"/>
    <n v="247"/>
    <n v="183"/>
    <n v="28914"/>
    <n v="18310"/>
    <n v="135"/>
    <s v="#SoundtrackOfLife"/>
    <m/>
    <x v="1"/>
    <n v="0.1607525766064882"/>
  </r>
  <r>
    <s v="SP072"/>
    <x v="0"/>
    <d v="2024-10-11T00:00:00"/>
    <x v="0"/>
    <s v="From pop to podcasts, itâ€™s all here."/>
    <n v="1360"/>
    <n v="249"/>
    <n v="52"/>
    <n v="20368"/>
    <n v="42152"/>
    <n v="193"/>
    <s v="#DiscoverWeekly"/>
    <m/>
    <x v="1"/>
    <n v="8.1549489395129612E-2"/>
  </r>
  <r>
    <s v="SP073"/>
    <x v="2"/>
    <d v="2025-05-06T00:00:00"/>
    <x v="2"/>
    <s v="Discover fresh beats on Spotify!"/>
    <n v="1085"/>
    <n v="496"/>
    <n v="320"/>
    <n v="36528"/>
    <n v="38599"/>
    <n v="270"/>
    <s v="#DiscoverWeekly"/>
    <s v="#SoundtrackOfLife"/>
    <x v="3"/>
    <n v="5.2042268944371438E-2"/>
  </r>
  <r>
    <s v="SP074"/>
    <x v="1"/>
    <d v="2024-05-19T00:00:00"/>
    <x v="1"/>
    <s v="Get into the groove with our new drop!"/>
    <n v="1763"/>
    <n v="206"/>
    <n v="187"/>
    <n v="53342"/>
    <n v="25095"/>
    <n v="88"/>
    <s v="#DiscoverWeekly"/>
    <s v="#MusicForEveryone"/>
    <x v="0"/>
    <n v="4.0418432004799221E-2"/>
  </r>
  <r>
    <s v="SP075"/>
    <x v="1"/>
    <d v="2024-01-22T00:00:00"/>
    <x v="1"/>
    <s v="From pop to podcasts, itâ€™s all here."/>
    <n v="1554"/>
    <n v="455"/>
    <n v="158"/>
    <n v="41947"/>
    <n v="48578"/>
    <n v="101"/>
    <s v="#SoundtrackOfLife"/>
    <s v="#NowPlaying"/>
    <x v="0"/>
    <n v="5.1660428636136076E-2"/>
  </r>
  <r>
    <s v="SP076"/>
    <x v="0"/>
    <d v="2024-07-14T00:00:00"/>
    <x v="0"/>
    <s v="Wrapped is here! Relive your top tracks ðŸŽ§"/>
    <n v="2464"/>
    <n v="401"/>
    <n v="78"/>
    <n v="38665"/>
    <n v="73593"/>
    <n v="207"/>
    <s v="#DiscoverWeekly"/>
    <m/>
    <x v="1"/>
    <n v="7.611534979956032E-2"/>
  </r>
  <r>
    <s v="SP077"/>
    <x v="1"/>
    <d v="2025-05-28T00:00:00"/>
    <x v="0"/>
    <s v="From pop to podcasts, itâ€™s all here."/>
    <n v="2418"/>
    <n v="161"/>
    <n v="360"/>
    <n v="30589"/>
    <n v="41383"/>
    <n v="88"/>
    <s v="#NowPlaying"/>
    <m/>
    <x v="0"/>
    <n v="9.6080290300434801E-2"/>
  </r>
  <r>
    <s v="SP078"/>
    <x v="1"/>
    <d v="2025-01-21T00:00:00"/>
    <x v="1"/>
    <s v="Discover fresh beats on Spotify!"/>
    <n v="2494"/>
    <n v="494"/>
    <n v="55"/>
    <n v="22580"/>
    <n v="22214"/>
    <n v="109"/>
    <s v="#MusicForEveryone"/>
    <s v="#NowPlaying"/>
    <x v="0"/>
    <n v="0.13476527900797167"/>
  </r>
  <r>
    <s v="SP079"/>
    <x v="2"/>
    <d v="2024-01-13T00:00:00"/>
    <x v="2"/>
    <s v="New music just dropped. Hit play!"/>
    <n v="4781"/>
    <n v="191"/>
    <n v="122"/>
    <n v="35535"/>
    <n v="50777"/>
    <n v="128"/>
    <s v="#DiscoverWeekly"/>
    <s v="#SoundtrackOfLife"/>
    <x v="3"/>
    <n v="0.14335162515829464"/>
  </r>
  <r>
    <s v="SP080"/>
    <x v="0"/>
    <d v="2025-06-17T00:00:00"/>
    <x v="0"/>
    <s v="Music that moves youâ€”only on Spotify."/>
    <n v="2284"/>
    <n v="187"/>
    <n v="260"/>
    <n v="37400"/>
    <n v="65014"/>
    <n v="157"/>
    <s v="#SoundtrackOfLife"/>
    <s v="#NowPlaying"/>
    <x v="0"/>
    <n v="7.3021390374331557E-2"/>
  </r>
  <r>
    <s v="SP081"/>
    <x v="1"/>
    <d v="2025-03-07T00:00:00"/>
    <x v="0"/>
    <s v="Get into the groove with our new drop!"/>
    <n v="4234"/>
    <n v="486"/>
    <n v="276"/>
    <n v="56623"/>
    <n v="41343"/>
    <n v="184"/>
    <s v="#SoundtrackOfLife"/>
    <m/>
    <x v="1"/>
    <n v="8.8232696960599044E-2"/>
  </r>
  <r>
    <s v="SP082"/>
    <x v="0"/>
    <d v="2024-08-26T00:00:00"/>
    <x v="0"/>
    <s v="Your weekend playlist is waiting."/>
    <n v="2102"/>
    <n v="181"/>
    <n v="306"/>
    <n v="43650"/>
    <n v="50079"/>
    <n v="182"/>
    <s v="#DiscoverWeekly"/>
    <m/>
    <x v="1"/>
    <n v="5.9312714776632303E-2"/>
  </r>
  <r>
    <s v="SP083"/>
    <x v="1"/>
    <d v="2025-01-03T00:00:00"/>
    <x v="1"/>
    <s v="Get into the groove with our new drop!"/>
    <n v="4845"/>
    <n v="158"/>
    <n v="84"/>
    <n v="34578"/>
    <n v="51480"/>
    <n v="180"/>
    <s v="#SoundtrackOfLife"/>
    <s v="#NowPlaying"/>
    <x v="0"/>
    <n v="0.1471166637746544"/>
  </r>
  <r>
    <s v="SP084"/>
    <x v="1"/>
    <d v="2024-08-03T00:00:00"/>
    <x v="0"/>
    <s v="Your weekend playlist is waiting."/>
    <n v="4247"/>
    <n v="390"/>
    <n v="213"/>
    <n v="29785"/>
    <n v="57768"/>
    <n v="122"/>
    <s v="#NowPlaying"/>
    <m/>
    <x v="0"/>
    <n v="0.16283364109451065"/>
  </r>
  <r>
    <s v="SP085"/>
    <x v="0"/>
    <d v="2024-08-18T00:00:00"/>
    <x v="0"/>
    <s v="Explore the latest podcasts now."/>
    <n v="2965"/>
    <n v="328"/>
    <n v="171"/>
    <n v="57685"/>
    <n v="67536"/>
    <n v="264"/>
    <s v="#SoundtrackOfLife"/>
    <s v="#NowPlaying"/>
    <x v="0"/>
    <n v="6.0050273034584378E-2"/>
  </r>
  <r>
    <s v="SP086"/>
    <x v="1"/>
    <d v="2025-05-14T00:00:00"/>
    <x v="1"/>
    <s v="Wrapped is here! Relive your top tracks ðŸŽ§"/>
    <n v="1371"/>
    <n v="139"/>
    <n v="96"/>
    <n v="36140"/>
    <n v="39395"/>
    <n v="169"/>
    <s v="#SoundtrackOfLife"/>
    <s v="#NowPlaying"/>
    <x v="0"/>
    <n v="4.4438295517432211E-2"/>
  </r>
  <r>
    <s v="SP087"/>
    <x v="1"/>
    <d v="2024-04-23T00:00:00"/>
    <x v="1"/>
    <s v="Discover fresh beats on Spotify!"/>
    <n v="2683"/>
    <n v="496"/>
    <n v="89"/>
    <n v="53435"/>
    <n v="30334"/>
    <n v="160"/>
    <s v="#SoundtrackOfLife"/>
    <s v="#NowPlaying"/>
    <x v="0"/>
    <n v="6.1158416768035934E-2"/>
  </r>
  <r>
    <s v="SP088"/>
    <x v="1"/>
    <d v="2025-02-17T00:00:00"/>
    <x v="1"/>
    <s v="Whatâ€™s your vibe today? #SpotifyHits"/>
    <n v="4796"/>
    <n v="427"/>
    <n v="339"/>
    <n v="30752"/>
    <n v="33870"/>
    <n v="298"/>
    <s v="#SoundtrackOfLife"/>
    <s v="#NowPlaying"/>
    <x v="0"/>
    <n v="0.18086628511966701"/>
  </r>
  <r>
    <s v="SP089"/>
    <x v="0"/>
    <d v="2024-12-04T00:00:00"/>
    <x v="0"/>
    <s v="Wrapped is here! Relive your top tracks ðŸŽ§"/>
    <n v="2601"/>
    <n v="336"/>
    <n v="260"/>
    <n v="32368"/>
    <n v="49028"/>
    <n v="120"/>
    <s v="#SoundtrackOfLife"/>
    <s v="#NowPlaying"/>
    <x v="0"/>
    <n v="9.8770390509144837E-2"/>
  </r>
  <r>
    <s v="SP090"/>
    <x v="1"/>
    <d v="2024-07-22T00:00:00"/>
    <x v="1"/>
    <s v="Wrapped is here! Relive your top tracks ðŸŽ§"/>
    <n v="3336"/>
    <n v="229"/>
    <n v="337"/>
    <n v="22117"/>
    <n v="26205"/>
    <n v="160"/>
    <s v="#MusicForEveryone"/>
    <s v="#NowPlaying"/>
    <x v="0"/>
    <n v="0.17642537414658407"/>
  </r>
  <r>
    <s v="SP091"/>
    <x v="1"/>
    <d v="2025-04-27T00:00:00"/>
    <x v="0"/>
    <s v="Explore the latest podcasts now."/>
    <n v="1165"/>
    <n v="294"/>
    <n v="163"/>
    <n v="20659"/>
    <n v="45926"/>
    <n v="111"/>
    <s v="#SoundtrackOfLife"/>
    <m/>
    <x v="1"/>
    <n v="7.8512996756861422E-2"/>
  </r>
  <r>
    <s v="SP092"/>
    <x v="2"/>
    <d v="2024-03-25T00:00:00"/>
    <x v="2"/>
    <s v="Explore the latest podcasts now."/>
    <n v="1948"/>
    <n v="155"/>
    <n v="315"/>
    <n v="30321"/>
    <n v="57121"/>
    <n v="82"/>
    <s v="#DiscoverWeekly"/>
    <s v="#SoundtrackOfLife"/>
    <x v="3"/>
    <n v="7.974671020085089E-2"/>
  </r>
  <r>
    <s v="SP093"/>
    <x v="0"/>
    <d v="2024-02-29T00:00:00"/>
    <x v="0"/>
    <s v="From pop to podcasts, itâ€™s all here."/>
    <n v="1100"/>
    <n v="229"/>
    <n v="312"/>
    <n v="25641"/>
    <n v="34601"/>
    <n v="169"/>
    <s v="#DiscoverWeekly"/>
    <m/>
    <x v="1"/>
    <n v="6.3999063999063993E-2"/>
  </r>
  <r>
    <s v="SP094"/>
    <x v="1"/>
    <d v="2024-11-13T00:00:00"/>
    <x v="1"/>
    <s v="Top trending tracks updated daily!"/>
    <n v="4628"/>
    <n v="257"/>
    <n v="397"/>
    <n v="36686"/>
    <n v="54683"/>
    <n v="98"/>
    <s v="#SoundtrackOfLife"/>
    <s v="#NowPlaying"/>
    <x v="0"/>
    <n v="0.1439786294499264"/>
  </r>
  <r>
    <s v="SP095"/>
    <x v="0"/>
    <d v="2024-03-22T00:00:00"/>
    <x v="1"/>
    <s v="Discover fresh beats on Spotify!"/>
    <n v="2319"/>
    <n v="484"/>
    <n v="193"/>
    <n v="21202"/>
    <n v="18091"/>
    <n v="241"/>
    <s v="#NowPlaying"/>
    <m/>
    <x v="2"/>
    <n v="0.14130742382794076"/>
  </r>
  <r>
    <s v="SP096"/>
    <x v="1"/>
    <d v="2024-03-16T00:00:00"/>
    <x v="1"/>
    <s v="Wrapped is here! Relive your top tracks ðŸŽ§"/>
    <n v="2895"/>
    <n v="292"/>
    <n v="90"/>
    <n v="24223"/>
    <n v="54626"/>
    <n v="114"/>
    <s v="#SoundtrackOfLife"/>
    <s v="#NowPlaying"/>
    <x v="0"/>
    <n v="0.13528464682326713"/>
  </r>
  <r>
    <s v="SP097"/>
    <x v="0"/>
    <d v="2024-01-26T00:00:00"/>
    <x v="0"/>
    <s v="Whatâ€™s your vibe today? #SpotifyHits"/>
    <n v="3878"/>
    <n v="431"/>
    <n v="97"/>
    <n v="41763"/>
    <n v="29729"/>
    <n v="191"/>
    <s v="#DiscoverWeekly"/>
    <m/>
    <x v="1"/>
    <n v="0.10550008380623997"/>
  </r>
  <r>
    <s v="SP098"/>
    <x v="1"/>
    <d v="2024-03-15T00:00:00"/>
    <x v="1"/>
    <s v="Get into the groove with our new drop!"/>
    <n v="4969"/>
    <n v="433"/>
    <n v="237"/>
    <n v="59552"/>
    <n v="23885"/>
    <n v="157"/>
    <s v="#DiscoverWeekly"/>
    <s v="#MusicForEveryone"/>
    <x v="0"/>
    <n v="9.4690354648038683E-2"/>
  </r>
  <r>
    <s v="SP099"/>
    <x v="1"/>
    <d v="2024-10-15T00:00:00"/>
    <x v="0"/>
    <s v="Wrapped is here! Relive your top tracks ðŸŽ§"/>
    <n v="1984"/>
    <n v="481"/>
    <n v="356"/>
    <n v="40681"/>
    <n v="63111"/>
    <n v="258"/>
    <s v="#NowPlaying"/>
    <m/>
    <x v="0"/>
    <n v="6.934441139598338E-2"/>
  </r>
  <r>
    <s v="SP100"/>
    <x v="0"/>
    <d v="2024-07-21T00:00:00"/>
    <x v="0"/>
    <s v="Discover fresh beats on Spotify!"/>
    <n v="3004"/>
    <n v="415"/>
    <n v="218"/>
    <n v="36090"/>
    <n v="37073"/>
    <n v="181"/>
    <s v="#DiscoverWeekly"/>
    <m/>
    <x v="1"/>
    <n v="0.10077583818232197"/>
  </r>
  <r>
    <s v="SP101"/>
    <x v="1"/>
    <d v="2024-10-12T00:00:00"/>
    <x v="0"/>
    <s v="Get into the groove with our new drop!"/>
    <n v="3169"/>
    <n v="386"/>
    <n v="175"/>
    <n v="45012"/>
    <n v="38508"/>
    <n v="218"/>
    <s v="#NowPlaying"/>
    <m/>
    <x v="0"/>
    <n v="8.2866791077934779E-2"/>
  </r>
  <r>
    <s v="SP102"/>
    <x v="1"/>
    <d v="2024-10-26T00:00:00"/>
    <x v="0"/>
    <s v="Discover fresh beats on Spotify!"/>
    <n v="3036"/>
    <n v="293"/>
    <n v="115"/>
    <n v="23776"/>
    <n v="46386"/>
    <n v="282"/>
    <s v="#NowPlaying"/>
    <m/>
    <x v="0"/>
    <n v="0.14485195154777927"/>
  </r>
  <r>
    <s v="SP103"/>
    <x v="0"/>
    <d v="2024-02-14T00:00:00"/>
    <x v="0"/>
    <s v="Music that moves youâ€”only on Spotify."/>
    <n v="1830"/>
    <n v="112"/>
    <n v="181"/>
    <n v="31870"/>
    <n v="55742"/>
    <n v="263"/>
    <s v="#SoundtrackOfLife"/>
    <s v="#NowPlaying"/>
    <x v="0"/>
    <n v="6.6614370881706936E-2"/>
  </r>
  <r>
    <s v="SP104"/>
    <x v="1"/>
    <d v="2024-05-01T00:00:00"/>
    <x v="1"/>
    <s v="Whatâ€™s your vibe today? #SpotifyHits"/>
    <n v="2587"/>
    <n v="447"/>
    <n v="183"/>
    <n v="36266"/>
    <n v="32877"/>
    <n v="132"/>
    <s v="#DiscoverWeekly"/>
    <s v="#MusicForEveryone"/>
    <x v="0"/>
    <n v="8.8705674736667947E-2"/>
  </r>
  <r>
    <s v="SP105"/>
    <x v="1"/>
    <d v="2024-09-18T00:00:00"/>
    <x v="0"/>
    <s v="Discover fresh beats on Spotify!"/>
    <n v="2878"/>
    <n v="265"/>
    <n v="91"/>
    <n v="52090"/>
    <n v="28924"/>
    <n v="133"/>
    <s v="#NowPlaying"/>
    <m/>
    <x v="0"/>
    <n v="6.2084853138798232E-2"/>
  </r>
  <r>
    <s v="SP106"/>
    <x v="1"/>
    <d v="2025-01-20T00:00:00"/>
    <x v="1"/>
    <s v="New music just dropped. Hit play!"/>
    <n v="4619"/>
    <n v="272"/>
    <n v="57"/>
    <n v="21334"/>
    <n v="46292"/>
    <n v="91"/>
    <s v="#SoundtrackOfLife"/>
    <s v="#NowPlaying"/>
    <x v="0"/>
    <n v="0.23193025217961938"/>
  </r>
  <r>
    <s v="SP107"/>
    <x v="1"/>
    <d v="2025-01-13T00:00:00"/>
    <x v="0"/>
    <s v="Music that moves youâ€”only on Spotify."/>
    <n v="4090"/>
    <n v="209"/>
    <n v="278"/>
    <n v="52853"/>
    <n v="57084"/>
    <n v="102"/>
    <s v="#SoundtrackOfLife"/>
    <m/>
    <x v="1"/>
    <n v="8.6598679355949518E-2"/>
  </r>
  <r>
    <s v="SP108"/>
    <x v="2"/>
    <d v="2024-09-07T00:00:00"/>
    <x v="2"/>
    <s v="Music that moves youâ€”only on Spotify."/>
    <n v="3882"/>
    <n v="342"/>
    <n v="374"/>
    <n v="41991"/>
    <n v="48554"/>
    <n v="118"/>
    <s v="#DiscoverWeekly"/>
    <s v="#SoundtrackOfLife"/>
    <x v="3"/>
    <n v="0.10949965468790931"/>
  </r>
  <r>
    <s v="SP109"/>
    <x v="0"/>
    <d v="2024-11-21T00:00:00"/>
    <x v="0"/>
    <s v="Music that moves youâ€”only on Spotify."/>
    <n v="4581"/>
    <n v="181"/>
    <n v="112"/>
    <n v="35221"/>
    <n v="28797"/>
    <n v="164"/>
    <s v="#SoundtrackOfLife"/>
    <s v="#NowPlaying"/>
    <x v="0"/>
    <n v="0.13838335084182732"/>
  </r>
  <r>
    <s v="SP110"/>
    <x v="0"/>
    <d v="2024-06-26T00:00:00"/>
    <x v="0"/>
    <s v="New music just dropped. Hit play!"/>
    <n v="3253"/>
    <n v="483"/>
    <n v="336"/>
    <n v="25397"/>
    <n v="51485"/>
    <n v="131"/>
    <s v="#DiscoverWeekly"/>
    <m/>
    <x v="1"/>
    <n v="0.16033389770445328"/>
  </r>
  <r>
    <s v="SP111"/>
    <x v="2"/>
    <d v="2024-07-20T00:00:00"/>
    <x v="2"/>
    <s v="Music that moves youâ€”only on Spotify."/>
    <n v="4955"/>
    <n v="299"/>
    <n v="345"/>
    <n v="33644"/>
    <n v="43547"/>
    <n v="194"/>
    <s v="#DiscoverWeekly"/>
    <s v="#SoundtrackOfLife"/>
    <x v="3"/>
    <n v="0.16641897515158721"/>
  </r>
  <r>
    <s v="SP112"/>
    <x v="0"/>
    <d v="2025-02-16T00:00:00"/>
    <x v="0"/>
    <s v="Your weekend playlist is waiting."/>
    <n v="1333"/>
    <n v="286"/>
    <n v="298"/>
    <n v="36174"/>
    <n v="34517"/>
    <n v="170"/>
    <s v="#SoundtrackOfLife"/>
    <s v="#NowPlaying"/>
    <x v="0"/>
    <n v="5.2993862995521647E-2"/>
  </r>
  <r>
    <s v="SP113"/>
    <x v="0"/>
    <d v="2024-09-09T00:00:00"/>
    <x v="0"/>
    <s v="New music just dropped. Hit play!"/>
    <n v="1616"/>
    <n v="360"/>
    <n v="180"/>
    <n v="54342"/>
    <n v="18796"/>
    <n v="282"/>
    <s v="#SoundtrackOfLife"/>
    <s v="#NowPlaying"/>
    <x v="0"/>
    <n v="3.9674653122814763E-2"/>
  </r>
  <r>
    <s v="SP114"/>
    <x v="1"/>
    <d v="2024-07-16T00:00:00"/>
    <x v="0"/>
    <s v="Top trending tracks updated daily!"/>
    <n v="1803"/>
    <n v="273"/>
    <n v="287"/>
    <n v="46176"/>
    <n v="25488"/>
    <n v="141"/>
    <s v="#NowPlaying"/>
    <m/>
    <x v="0"/>
    <n v="5.1173769923769923E-2"/>
  </r>
  <r>
    <s v="SP115"/>
    <x v="0"/>
    <d v="2025-04-15T00:00:00"/>
    <x v="0"/>
    <s v="Explore the latest podcasts now."/>
    <n v="4177"/>
    <n v="489"/>
    <n v="331"/>
    <n v="57451"/>
    <n v="73793"/>
    <n v="251"/>
    <s v="#DiscoverWeekly"/>
    <m/>
    <x v="1"/>
    <n v="8.6978468608031198E-2"/>
  </r>
  <r>
    <s v="SP116"/>
    <x v="0"/>
    <d v="2025-05-04T00:00:00"/>
    <x v="1"/>
    <s v="New music just dropped. Hit play!"/>
    <n v="1311"/>
    <n v="181"/>
    <n v="361"/>
    <n v="37148"/>
    <n v="44875"/>
    <n v="245"/>
    <s v="#NowPlaying"/>
    <m/>
    <x v="2"/>
    <n v="4.9881554861634543E-2"/>
  </r>
  <r>
    <s v="SP117"/>
    <x v="0"/>
    <d v="2024-02-18T00:00:00"/>
    <x v="1"/>
    <s v="From pop to podcasts, itâ€™s all here."/>
    <n v="1516"/>
    <n v="215"/>
    <n v="332"/>
    <n v="58981"/>
    <n v="36118"/>
    <n v="211"/>
    <s v="#NowPlaying"/>
    <m/>
    <x v="2"/>
    <n v="3.4977365592309385E-2"/>
  </r>
  <r>
    <s v="SP118"/>
    <x v="1"/>
    <d v="2024-05-16T00:00:00"/>
    <x v="1"/>
    <s v="Music that moves youâ€”only on Spotify."/>
    <n v="2023"/>
    <n v="124"/>
    <n v="99"/>
    <n v="54524"/>
    <n v="34790"/>
    <n v="195"/>
    <s v="#DiscoverWeekly"/>
    <s v="#MusicForEveryone"/>
    <x v="0"/>
    <n v="4.1192869195216787E-2"/>
  </r>
  <r>
    <s v="SP119"/>
    <x v="1"/>
    <d v="2025-05-29T00:00:00"/>
    <x v="1"/>
    <s v="Music that moves youâ€”only on Spotify."/>
    <n v="2134"/>
    <n v="322"/>
    <n v="114"/>
    <n v="44338"/>
    <n v="52165"/>
    <n v="176"/>
    <s v="#MusicForEveryone"/>
    <s v="#NowPlaying"/>
    <x v="0"/>
    <n v="5.7963823356939871E-2"/>
  </r>
  <r>
    <s v="SP120"/>
    <x v="0"/>
    <d v="2025-01-17T00:00:00"/>
    <x v="0"/>
    <s v="Top trending tracks updated daily!"/>
    <n v="2266"/>
    <n v="126"/>
    <n v="140"/>
    <n v="53759"/>
    <n v="46834"/>
    <n v="277"/>
    <s v="#DiscoverWeekly"/>
    <m/>
    <x v="1"/>
    <n v="4.7099090384865788E-2"/>
  </r>
  <r>
    <s v="SP121"/>
    <x v="0"/>
    <d v="2025-04-30T00:00:00"/>
    <x v="1"/>
    <s v="New music just dropped. Hit play!"/>
    <n v="3916"/>
    <n v="459"/>
    <n v="229"/>
    <n v="48989"/>
    <n v="39768"/>
    <n v="200"/>
    <s v="#NowPlaying"/>
    <m/>
    <x v="2"/>
    <n v="9.3980281287635997E-2"/>
  </r>
  <r>
    <s v="SP122"/>
    <x v="1"/>
    <d v="2024-02-24T00:00:00"/>
    <x v="1"/>
    <s v="Music that moves youâ€”only on Spotify."/>
    <n v="1022"/>
    <n v="463"/>
    <n v="360"/>
    <n v="51468"/>
    <n v="24279"/>
    <n v="230"/>
    <s v="#DiscoverWeekly"/>
    <s v="#MusicForEveryone"/>
    <x v="0"/>
    <n v="3.5847516903707161E-2"/>
  </r>
  <r>
    <s v="SP123"/>
    <x v="2"/>
    <d v="2024-05-12T00:00:00"/>
    <x v="0"/>
    <s v="From pop to podcasts, itâ€™s all here."/>
    <n v="2911"/>
    <n v="467"/>
    <n v="94"/>
    <n v="59083"/>
    <n v="49762"/>
    <n v="236"/>
    <s v="#DiscoverWeekly"/>
    <s v="#SpotifyWrapped"/>
    <x v="1"/>
    <n v="5.8764788517847777E-2"/>
  </r>
  <r>
    <s v="SP124"/>
    <x v="1"/>
    <d v="2024-05-09T00:00:00"/>
    <x v="1"/>
    <s v="New music just dropped. Hit play!"/>
    <n v="3277"/>
    <n v="423"/>
    <n v="259"/>
    <n v="46328"/>
    <n v="44293"/>
    <n v="299"/>
    <s v="#SoundtrackOfLife"/>
    <s v="#NowPlaying"/>
    <x v="0"/>
    <n v="8.5455879813503707E-2"/>
  </r>
  <r>
    <s v="SP125"/>
    <x v="1"/>
    <d v="2024-11-06T00:00:00"/>
    <x v="0"/>
    <s v="From pop to podcasts, itâ€™s all here."/>
    <n v="2956"/>
    <n v="381"/>
    <n v="345"/>
    <n v="33347"/>
    <n v="22558"/>
    <n v="173"/>
    <s v="#NowPlaying"/>
    <m/>
    <x v="0"/>
    <n v="0.11041472996071611"/>
  </r>
  <r>
    <s v="SP126"/>
    <x v="1"/>
    <d v="2024-01-04T00:00:00"/>
    <x v="1"/>
    <s v="Whatâ€™s your vibe today? #SpotifyHits"/>
    <n v="3208"/>
    <n v="476"/>
    <n v="277"/>
    <n v="56072"/>
    <n v="21061"/>
    <n v="113"/>
    <s v="#MusicForEveryone"/>
    <s v="#NowPlaying"/>
    <x v="0"/>
    <n v="7.064131830503638E-2"/>
  </r>
  <r>
    <s v="SP127"/>
    <x v="1"/>
    <d v="2024-01-28T00:00:00"/>
    <x v="0"/>
    <s v="Music that moves youâ€”only on Spotify."/>
    <n v="1456"/>
    <n v="265"/>
    <n v="137"/>
    <n v="53485"/>
    <n v="59729"/>
    <n v="145"/>
    <s v="#SoundtrackOfLife"/>
    <m/>
    <x v="1"/>
    <n v="3.4738711788351875E-2"/>
  </r>
  <r>
    <s v="SP128"/>
    <x v="0"/>
    <d v="2024-02-22T00:00:00"/>
    <x v="0"/>
    <s v="New music just dropped. Hit play!"/>
    <n v="1902"/>
    <n v="394"/>
    <n v="279"/>
    <n v="24615"/>
    <n v="51330"/>
    <n v="176"/>
    <s v="#SoundtrackOfLife"/>
    <s v="#NowPlaying"/>
    <x v="0"/>
    <n v="0.10461100954702417"/>
  </r>
  <r>
    <s v="SP129"/>
    <x v="1"/>
    <d v="2025-07-01T00:00:00"/>
    <x v="1"/>
    <s v="Explore the latest podcasts now."/>
    <n v="3219"/>
    <n v="424"/>
    <n v="267"/>
    <n v="48879"/>
    <n v="37691"/>
    <n v="224"/>
    <s v="#DiscoverWeekly"/>
    <s v="#MusicForEveryone"/>
    <x v="0"/>
    <n v="7.9993453221219743E-2"/>
  </r>
  <r>
    <s v="SP130"/>
    <x v="2"/>
    <d v="2024-01-10T00:00:00"/>
    <x v="0"/>
    <s v="Explore the latest podcasts now."/>
    <n v="1261"/>
    <n v="190"/>
    <n v="233"/>
    <n v="59888"/>
    <n v="51449"/>
    <n v="205"/>
    <s v="#DiscoverWeekly"/>
    <s v="#SpotifyWrapped"/>
    <x v="1"/>
    <n v="2.811915575741384E-2"/>
  </r>
  <r>
    <s v="SP131"/>
    <x v="1"/>
    <d v="2025-03-20T00:00:00"/>
    <x v="0"/>
    <s v="Your weekend playlist is waiting."/>
    <n v="1564"/>
    <n v="362"/>
    <n v="371"/>
    <n v="42075"/>
    <n v="66659"/>
    <n v="205"/>
    <s v="#SoundtrackOfLife"/>
    <m/>
    <x v="1"/>
    <n v="5.4592988710635768E-2"/>
  </r>
  <r>
    <s v="SP132"/>
    <x v="1"/>
    <d v="2024-09-28T00:00:00"/>
    <x v="0"/>
    <s v="Whatâ€™s your vibe today? #SpotifyHits"/>
    <n v="4006"/>
    <n v="420"/>
    <n v="194"/>
    <n v="49964"/>
    <n v="20685"/>
    <n v="148"/>
    <s v="#NowPlaying"/>
    <m/>
    <x v="0"/>
    <n v="9.2466575934672959E-2"/>
  </r>
  <r>
    <s v="SP133"/>
    <x v="2"/>
    <d v="2024-01-27T00:00:00"/>
    <x v="0"/>
    <s v="Your weekend playlist is waiting."/>
    <n v="1976"/>
    <n v="262"/>
    <n v="218"/>
    <n v="51696"/>
    <n v="44846"/>
    <n v="139"/>
    <s v="#DiscoverWeekly"/>
    <s v="#SpotifyWrapped"/>
    <x v="1"/>
    <n v="4.7508511296812134E-2"/>
  </r>
  <r>
    <s v="SP134"/>
    <x v="1"/>
    <d v="2025-05-15T00:00:00"/>
    <x v="0"/>
    <s v="New music just dropped. Hit play!"/>
    <n v="1583"/>
    <n v="433"/>
    <n v="249"/>
    <n v="30256"/>
    <n v="47066"/>
    <n v="196"/>
    <s v="#NowPlaying"/>
    <m/>
    <x v="0"/>
    <n v="7.4861184558434685E-2"/>
  </r>
  <r>
    <s v="SP135"/>
    <x v="1"/>
    <d v="2024-10-04T00:00:00"/>
    <x v="1"/>
    <s v="Explore the latest podcasts now."/>
    <n v="2870"/>
    <n v="380"/>
    <n v="393"/>
    <n v="37621"/>
    <n v="71794"/>
    <n v="127"/>
    <s v="#MusicForEveryone"/>
    <s v="#NowPlaying"/>
    <x v="0"/>
    <n v="9.6834214933149046E-2"/>
  </r>
  <r>
    <s v="SP136"/>
    <x v="1"/>
    <d v="2024-11-19T00:00:00"/>
    <x v="0"/>
    <s v="Top trending tracks updated daily!"/>
    <n v="3728"/>
    <n v="271"/>
    <n v="275"/>
    <n v="22827"/>
    <n v="37034"/>
    <n v="199"/>
    <s v="#NowPlaying"/>
    <m/>
    <x v="0"/>
    <n v="0.18723441538528934"/>
  </r>
  <r>
    <s v="SP137"/>
    <x v="1"/>
    <d v="2024-04-05T00:00:00"/>
    <x v="1"/>
    <s v="New music just dropped. Hit play!"/>
    <n v="4965"/>
    <n v="175"/>
    <n v="307"/>
    <n v="32793"/>
    <n v="43412"/>
    <n v="296"/>
    <s v="#SoundtrackOfLife"/>
    <s v="#NowPlaying"/>
    <x v="0"/>
    <n v="0.16610252187966945"/>
  </r>
  <r>
    <s v="SP138"/>
    <x v="1"/>
    <d v="2024-11-28T00:00:00"/>
    <x v="1"/>
    <s v="New music just dropped. Hit play!"/>
    <n v="1131"/>
    <n v="100"/>
    <n v="116"/>
    <n v="48437"/>
    <n v="72704"/>
    <n v="236"/>
    <s v="#DiscoverWeekly"/>
    <s v="#MusicForEveryone"/>
    <x v="0"/>
    <n v="2.7809319322005904E-2"/>
  </r>
  <r>
    <s v="SP139"/>
    <x v="1"/>
    <d v="2025-03-09T00:00:00"/>
    <x v="0"/>
    <s v="Your weekend playlist is waiting."/>
    <n v="2754"/>
    <n v="215"/>
    <n v="264"/>
    <n v="27762"/>
    <n v="70203"/>
    <n v="289"/>
    <s v="#NowPlaying"/>
    <m/>
    <x v="0"/>
    <n v="0.11645414595490239"/>
  </r>
  <r>
    <s v="SP140"/>
    <x v="1"/>
    <d v="2024-08-27T00:00:00"/>
    <x v="1"/>
    <s v="New music just dropped. Hit play!"/>
    <n v="1856"/>
    <n v="357"/>
    <n v="348"/>
    <n v="29428"/>
    <n v="70206"/>
    <n v="236"/>
    <s v="#MusicForEveryone"/>
    <s v="#NowPlaying"/>
    <x v="0"/>
    <n v="8.702596166915863E-2"/>
  </r>
  <r>
    <s v="SP141"/>
    <x v="2"/>
    <d v="2024-10-01T00:00:00"/>
    <x v="2"/>
    <s v="Explore the latest podcasts now."/>
    <n v="3543"/>
    <n v="334"/>
    <n v="218"/>
    <n v="58007"/>
    <n v="24792"/>
    <n v="273"/>
    <s v="#DiscoverWeekly"/>
    <s v="#SoundtrackOfLife"/>
    <x v="3"/>
    <n v="7.0594928198320889E-2"/>
  </r>
  <r>
    <s v="SP142"/>
    <x v="0"/>
    <d v="2024-12-21T00:00:00"/>
    <x v="1"/>
    <s v="New music just dropped. Hit play!"/>
    <n v="4563"/>
    <n v="398"/>
    <n v="163"/>
    <n v="43679"/>
    <n v="48760"/>
    <n v="92"/>
    <s v="#NowPlaying"/>
    <m/>
    <x v="2"/>
    <n v="0.11731037798484398"/>
  </r>
  <r>
    <s v="SP143"/>
    <x v="0"/>
    <d v="2024-06-17T00:00:00"/>
    <x v="0"/>
    <s v="Discover fresh beats on Spotify!"/>
    <n v="4283"/>
    <n v="471"/>
    <n v="156"/>
    <n v="53004"/>
    <n v="25678"/>
    <n v="105"/>
    <s v="#DiscoverWeekly"/>
    <m/>
    <x v="1"/>
    <n v="9.2634518149573616E-2"/>
  </r>
  <r>
    <s v="SP144"/>
    <x v="0"/>
    <d v="2025-02-14T00:00:00"/>
    <x v="0"/>
    <s v="Discover fresh beats on Spotify!"/>
    <n v="2329"/>
    <n v="373"/>
    <n v="291"/>
    <n v="49577"/>
    <n v="28002"/>
    <n v="82"/>
    <s v="#SoundtrackOfLife"/>
    <s v="#NowPlaying"/>
    <x v="0"/>
    <n v="6.0370736430199488E-2"/>
  </r>
  <r>
    <s v="SP145"/>
    <x v="1"/>
    <d v="2025-05-28T00:00:00"/>
    <x v="1"/>
    <s v="Top trending tracks updated daily!"/>
    <n v="4287"/>
    <n v="273"/>
    <n v="122"/>
    <n v="40792"/>
    <n v="23878"/>
    <n v="277"/>
    <s v="#MusicForEveryone"/>
    <s v="#NowPlaying"/>
    <x v="0"/>
    <n v="0.11477740733477153"/>
  </r>
  <r>
    <s v="SP146"/>
    <x v="0"/>
    <d v="2025-05-22T00:00:00"/>
    <x v="0"/>
    <s v="Discover fresh beats on Spotify!"/>
    <n v="2633"/>
    <n v="318"/>
    <n v="380"/>
    <n v="40869"/>
    <n v="64474"/>
    <n v="245"/>
    <s v="#DiscoverWeekly"/>
    <m/>
    <x v="1"/>
    <n v="8.1504318676747664E-2"/>
  </r>
  <r>
    <s v="SP147"/>
    <x v="1"/>
    <d v="2024-01-21T00:00:00"/>
    <x v="1"/>
    <s v="Discover fresh beats on Spotify!"/>
    <n v="2383"/>
    <n v="136"/>
    <n v="302"/>
    <n v="39187"/>
    <n v="22133"/>
    <n v="208"/>
    <s v="#MusicForEveryone"/>
    <s v="#NowPlaying"/>
    <x v="0"/>
    <n v="7.1988159338556151E-2"/>
  </r>
  <r>
    <s v="SP148"/>
    <x v="1"/>
    <d v="2025-02-08T00:00:00"/>
    <x v="1"/>
    <s v="Your weekend playlist is waiting."/>
    <n v="4752"/>
    <n v="334"/>
    <n v="56"/>
    <n v="48017"/>
    <n v="55534"/>
    <n v="270"/>
    <s v="#DiscoverWeekly"/>
    <s v="#MusicForEveryone"/>
    <x v="0"/>
    <n v="0.10708707332819627"/>
  </r>
  <r>
    <s v="SP149"/>
    <x v="1"/>
    <d v="2025-04-13T00:00:00"/>
    <x v="0"/>
    <s v="From pop to podcasts, itâ€™s all here."/>
    <n v="3890"/>
    <n v="408"/>
    <n v="338"/>
    <n v="56994"/>
    <n v="32621"/>
    <n v="286"/>
    <s v="#SoundtrackOfLife"/>
    <m/>
    <x v="1"/>
    <n v="8.1341895638137346E-2"/>
  </r>
  <r>
    <s v="SP150"/>
    <x v="1"/>
    <d v="2024-05-30T00:00:00"/>
    <x v="1"/>
    <s v="Your weekend playlist is waiting."/>
    <n v="2311"/>
    <n v="207"/>
    <n v="363"/>
    <n v="30349"/>
    <n v="32925"/>
    <n v="88"/>
    <s v="#MusicForEveryone"/>
    <s v="#NowPlaying"/>
    <x v="0"/>
    <n v="9.4928992718046723E-2"/>
  </r>
  <r>
    <s v="SP151"/>
    <x v="0"/>
    <d v="2024-08-12T00:00:00"/>
    <x v="1"/>
    <s v="Discover fresh beats on Spotify!"/>
    <n v="2962"/>
    <n v="400"/>
    <n v="280"/>
    <n v="52508"/>
    <n v="58329"/>
    <n v="219"/>
    <s v="#NowPlaying"/>
    <m/>
    <x v="2"/>
    <n v="6.9360859297630834E-2"/>
  </r>
  <r>
    <s v="SP152"/>
    <x v="0"/>
    <d v="2024-09-27T00:00:00"/>
    <x v="0"/>
    <s v="Discover fresh beats on Spotify!"/>
    <n v="3118"/>
    <n v="116"/>
    <n v="195"/>
    <n v="37100"/>
    <n v="62629"/>
    <n v="272"/>
    <s v="#DiscoverWeekly"/>
    <m/>
    <x v="1"/>
    <n v="9.2425876010781671E-2"/>
  </r>
  <r>
    <s v="SP153"/>
    <x v="1"/>
    <d v="2025-06-11T00:00:00"/>
    <x v="1"/>
    <s v="Explore the latest podcasts now."/>
    <n v="3805"/>
    <n v="453"/>
    <n v="63"/>
    <n v="52395"/>
    <n v="72934"/>
    <n v="87"/>
    <s v="#DiscoverWeekly"/>
    <s v="#MusicForEveryone"/>
    <x v="0"/>
    <n v="8.2469701307376658E-2"/>
  </r>
  <r>
    <s v="SP154"/>
    <x v="0"/>
    <d v="2024-11-19T00:00:00"/>
    <x v="0"/>
    <s v="Whatâ€™s your vibe today? #SpotifyHits"/>
    <n v="2525"/>
    <n v="272"/>
    <n v="294"/>
    <n v="51875"/>
    <n v="24732"/>
    <n v="92"/>
    <s v="#DiscoverWeekly"/>
    <m/>
    <x v="1"/>
    <n v="5.9585542168674697E-2"/>
  </r>
  <r>
    <s v="SP155"/>
    <x v="0"/>
    <d v="2024-04-25T00:00:00"/>
    <x v="0"/>
    <s v="Music that moves youâ€”only on Spotify."/>
    <n v="3563"/>
    <n v="483"/>
    <n v="227"/>
    <n v="41085"/>
    <n v="26393"/>
    <n v="236"/>
    <s v="#SoundtrackOfLife"/>
    <s v="#NowPlaying"/>
    <x v="0"/>
    <n v="0.10400389436534015"/>
  </r>
  <r>
    <s v="SP156"/>
    <x v="2"/>
    <d v="2024-09-03T00:00:00"/>
    <x v="2"/>
    <s v="Whatâ€™s your vibe today? #SpotifyHits"/>
    <n v="1437"/>
    <n v="494"/>
    <n v="129"/>
    <n v="53048"/>
    <n v="44090"/>
    <n v="230"/>
    <s v="#DiscoverWeekly"/>
    <s v="#SoundtrackOfLife"/>
    <x v="3"/>
    <n v="3.8832755240536872E-2"/>
  </r>
  <r>
    <s v="SP157"/>
    <x v="2"/>
    <d v="2025-03-02T00:00:00"/>
    <x v="0"/>
    <s v="From pop to podcasts, itâ€™s all here."/>
    <n v="4425"/>
    <n v="185"/>
    <n v="162"/>
    <n v="24610"/>
    <n v="21342"/>
    <n v="158"/>
    <s v="#DiscoverWeekly"/>
    <s v="#SpotifyWrapped"/>
    <x v="1"/>
    <n v="0.19390491670052823"/>
  </r>
  <r>
    <s v="SP158"/>
    <x v="1"/>
    <d v="2025-03-21T00:00:00"/>
    <x v="1"/>
    <s v="New music just dropped. Hit play!"/>
    <n v="4609"/>
    <n v="427"/>
    <n v="395"/>
    <n v="33698"/>
    <n v="29259"/>
    <n v="216"/>
    <s v="#DiscoverWeekly"/>
    <s v="#MusicForEveryone"/>
    <x v="0"/>
    <n v="0.16116683482699271"/>
  </r>
  <r>
    <s v="SP159"/>
    <x v="0"/>
    <d v="2024-04-12T00:00:00"/>
    <x v="1"/>
    <s v="Get into the groove with our new drop!"/>
    <n v="1558"/>
    <n v="352"/>
    <n v="202"/>
    <n v="25405"/>
    <n v="69941"/>
    <n v="219"/>
    <s v="#NowPlaying"/>
    <m/>
    <x v="2"/>
    <n v="8.3133241487896081E-2"/>
  </r>
  <r>
    <s v="SP160"/>
    <x v="2"/>
    <d v="2024-02-08T00:00:00"/>
    <x v="2"/>
    <s v="Top trending tracks updated daily!"/>
    <n v="1889"/>
    <n v="298"/>
    <n v="122"/>
    <n v="46225"/>
    <n v="74305"/>
    <n v="293"/>
    <s v="#DiscoverWeekly"/>
    <s v="#SoundtrackOfLife"/>
    <x v="3"/>
    <n v="4.9951325040562468E-2"/>
  </r>
  <r>
    <s v="SP161"/>
    <x v="0"/>
    <d v="2025-05-26T00:00:00"/>
    <x v="0"/>
    <s v="Discover fresh beats on Spotify!"/>
    <n v="3086"/>
    <n v="148"/>
    <n v="310"/>
    <n v="22824"/>
    <n v="58103"/>
    <n v="275"/>
    <s v="#DiscoverWeekly"/>
    <m/>
    <x v="1"/>
    <n v="0.1552751489660007"/>
  </r>
  <r>
    <s v="SP162"/>
    <x v="0"/>
    <d v="2024-11-14T00:00:00"/>
    <x v="0"/>
    <s v="Music that moves youâ€”only on Spotify."/>
    <n v="2422"/>
    <n v="318"/>
    <n v="118"/>
    <n v="25386"/>
    <n v="20873"/>
    <n v="100"/>
    <s v="#SoundtrackOfLife"/>
    <s v="#NowPlaying"/>
    <x v="0"/>
    <n v="0.11258173796580792"/>
  </r>
  <r>
    <s v="SP163"/>
    <x v="2"/>
    <d v="2024-08-09T00:00:00"/>
    <x v="2"/>
    <s v="From pop to podcasts, itâ€™s all here."/>
    <n v="3414"/>
    <n v="154"/>
    <n v="204"/>
    <n v="34146"/>
    <n v="44633"/>
    <n v="256"/>
    <s v="#DiscoverWeekly"/>
    <s v="#SoundtrackOfLife"/>
    <x v="3"/>
    <n v="0.11046681895390383"/>
  </r>
  <r>
    <s v="SP164"/>
    <x v="0"/>
    <d v="2025-06-27T00:00:00"/>
    <x v="1"/>
    <s v="Whatâ€™s your vibe today? #SpotifyHits"/>
    <n v="1342"/>
    <n v="332"/>
    <n v="163"/>
    <n v="51712"/>
    <n v="57922"/>
    <n v="168"/>
    <s v="#NowPlaying"/>
    <m/>
    <x v="2"/>
    <n v="3.5523669554455448E-2"/>
  </r>
  <r>
    <s v="SP165"/>
    <x v="0"/>
    <d v="2024-05-08T00:00:00"/>
    <x v="1"/>
    <s v="Music that moves youâ€”only on Spotify."/>
    <n v="2414"/>
    <n v="220"/>
    <n v="280"/>
    <n v="27355"/>
    <n v="50562"/>
    <n v="258"/>
    <s v="#NowPlaying"/>
    <m/>
    <x v="2"/>
    <n v="0.10652531529884847"/>
  </r>
  <r>
    <s v="SP166"/>
    <x v="0"/>
    <d v="2024-04-05T00:00:00"/>
    <x v="0"/>
    <s v="New music just dropped. Hit play!"/>
    <n v="4383"/>
    <n v="352"/>
    <n v="176"/>
    <n v="53239"/>
    <n v="34168"/>
    <n v="288"/>
    <s v="#DiscoverWeekly"/>
    <m/>
    <x v="1"/>
    <n v="9.2244407295403744E-2"/>
  </r>
  <r>
    <s v="SP167"/>
    <x v="2"/>
    <d v="2025-01-27T00:00:00"/>
    <x v="0"/>
    <s v="Wrapped is here! Relive your top tracks ðŸŽ§"/>
    <n v="4294"/>
    <n v="423"/>
    <n v="93"/>
    <n v="29828"/>
    <n v="73144"/>
    <n v="298"/>
    <s v="#DiscoverWeekly"/>
    <s v="#SpotifyWrapped"/>
    <x v="1"/>
    <n v="0.1612578785034196"/>
  </r>
  <r>
    <s v="SP168"/>
    <x v="0"/>
    <d v="2024-04-03T00:00:00"/>
    <x v="0"/>
    <s v="Top trending tracks updated daily!"/>
    <n v="2762"/>
    <n v="339"/>
    <n v="323"/>
    <n v="33757"/>
    <n v="68511"/>
    <n v="121"/>
    <s v="#SoundtrackOfLife"/>
    <s v="#NowPlaying"/>
    <x v="0"/>
    <n v="0.10143081434961637"/>
  </r>
  <r>
    <s v="SP169"/>
    <x v="2"/>
    <d v="2025-01-03T00:00:00"/>
    <x v="0"/>
    <s v="New music just dropped. Hit play!"/>
    <n v="3782"/>
    <n v="484"/>
    <n v="144"/>
    <n v="52172"/>
    <n v="59386"/>
    <n v="175"/>
    <s v="#DiscoverWeekly"/>
    <s v="#SpotifyWrapped"/>
    <x v="1"/>
    <n v="8.4528099363643333E-2"/>
  </r>
  <r>
    <s v="SP170"/>
    <x v="1"/>
    <d v="2024-11-23T00:00:00"/>
    <x v="0"/>
    <s v="New music just dropped. Hit play!"/>
    <n v="4318"/>
    <n v="371"/>
    <n v="329"/>
    <n v="32347"/>
    <n v="68956"/>
    <n v="259"/>
    <s v="#SoundtrackOfLife"/>
    <m/>
    <x v="1"/>
    <n v="0.15513030574705536"/>
  </r>
  <r>
    <s v="SP171"/>
    <x v="0"/>
    <d v="2024-09-01T00:00:00"/>
    <x v="1"/>
    <s v="Wrapped is here! Relive your top tracks ðŸŽ§"/>
    <n v="2335"/>
    <n v="150"/>
    <n v="75"/>
    <n v="26114"/>
    <n v="57549"/>
    <n v="135"/>
    <s v="#NowPlaying"/>
    <m/>
    <x v="2"/>
    <n v="9.8031707130274953E-2"/>
  </r>
  <r>
    <s v="SP172"/>
    <x v="2"/>
    <d v="2024-04-18T00:00:00"/>
    <x v="0"/>
    <s v="Explore the latest podcasts now."/>
    <n v="4023"/>
    <n v="293"/>
    <n v="91"/>
    <n v="26795"/>
    <n v="28924"/>
    <n v="278"/>
    <s v="#DiscoverWeekly"/>
    <s v="#SpotifyWrapped"/>
    <x v="1"/>
    <n v="0.16447098339242397"/>
  </r>
  <r>
    <s v="SP173"/>
    <x v="0"/>
    <d v="2024-06-04T00:00:00"/>
    <x v="0"/>
    <s v="Get into the groove with our new drop!"/>
    <n v="3948"/>
    <n v="151"/>
    <n v="249"/>
    <n v="43147"/>
    <n v="63136"/>
    <n v="230"/>
    <s v="#DiscoverWeekly"/>
    <m/>
    <x v="1"/>
    <n v="0.10077178019329269"/>
  </r>
  <r>
    <s v="SP174"/>
    <x v="2"/>
    <d v="2025-04-02T00:00:00"/>
    <x v="0"/>
    <s v="Wrapped is here! Relive your top tracks ðŸŽ§"/>
    <n v="4598"/>
    <n v="455"/>
    <n v="378"/>
    <n v="52952"/>
    <n v="58504"/>
    <n v="269"/>
    <s v="#DiscoverWeekly"/>
    <s v="#SpotifyWrapped"/>
    <x v="1"/>
    <n v="0.10256458679558846"/>
  </r>
  <r>
    <s v="SP175"/>
    <x v="1"/>
    <d v="2025-04-01T00:00:00"/>
    <x v="1"/>
    <s v="Music that moves youâ€”only on Spotify."/>
    <n v="2665"/>
    <n v="143"/>
    <n v="315"/>
    <n v="54808"/>
    <n v="29818"/>
    <n v="98"/>
    <s v="#DiscoverWeekly"/>
    <s v="#MusicForEveryone"/>
    <x v="0"/>
    <n v="5.6980732739746021E-2"/>
  </r>
  <r>
    <s v="SP176"/>
    <x v="0"/>
    <d v="2024-07-02T00:00:00"/>
    <x v="0"/>
    <s v="Top trending tracks updated daily!"/>
    <n v="3469"/>
    <n v="371"/>
    <n v="76"/>
    <n v="46493"/>
    <n v="26906"/>
    <n v="150"/>
    <s v="#SoundtrackOfLife"/>
    <s v="#NowPlaying"/>
    <x v="0"/>
    <n v="8.4227733207149463E-2"/>
  </r>
  <r>
    <s v="SP177"/>
    <x v="1"/>
    <d v="2024-11-10T00:00:00"/>
    <x v="0"/>
    <s v="Explore the latest podcasts now."/>
    <n v="4823"/>
    <n v="489"/>
    <n v="302"/>
    <n v="32470"/>
    <n v="31861"/>
    <n v="178"/>
    <s v="#SoundtrackOfLife"/>
    <m/>
    <x v="1"/>
    <n v="0.1728980597474592"/>
  </r>
  <r>
    <s v="SP178"/>
    <x v="0"/>
    <d v="2024-12-14T00:00:00"/>
    <x v="1"/>
    <s v="From pop to podcasts, itâ€™s all here."/>
    <n v="3812"/>
    <n v="321"/>
    <n v="289"/>
    <n v="59838"/>
    <n v="36337"/>
    <n v="161"/>
    <s v="#NowPlaying"/>
    <m/>
    <x v="2"/>
    <n v="7.3899528727564417E-2"/>
  </r>
  <r>
    <s v="SP179"/>
    <x v="1"/>
    <d v="2024-11-19T00:00:00"/>
    <x v="0"/>
    <s v="Explore the latest podcasts now."/>
    <n v="2387"/>
    <n v="353"/>
    <n v="78"/>
    <n v="39745"/>
    <n v="69226"/>
    <n v="208"/>
    <s v="#SoundtrackOfLife"/>
    <m/>
    <x v="1"/>
    <n v="7.090200025160398E-2"/>
  </r>
  <r>
    <s v="SP180"/>
    <x v="1"/>
    <d v="2025-04-30T00:00:00"/>
    <x v="1"/>
    <s v="Wrapped is here! Relive your top tracks ðŸŽ§"/>
    <n v="3929"/>
    <n v="275"/>
    <n v="330"/>
    <n v="58329"/>
    <n v="33196"/>
    <n v="85"/>
    <s v="#MusicForEveryone"/>
    <s v="#NowPlaying"/>
    <x v="0"/>
    <n v="7.7731488624869283E-2"/>
  </r>
  <r>
    <s v="SP181"/>
    <x v="1"/>
    <d v="2024-03-19T00:00:00"/>
    <x v="0"/>
    <s v="From pop to podcasts, itâ€™s all here."/>
    <n v="2191"/>
    <n v="288"/>
    <n v="83"/>
    <n v="59606"/>
    <n v="24765"/>
    <n v="281"/>
    <s v="#SoundtrackOfLife"/>
    <m/>
    <x v="1"/>
    <n v="4.2982250109049422E-2"/>
  </r>
  <r>
    <s v="SP182"/>
    <x v="0"/>
    <d v="2024-03-19T00:00:00"/>
    <x v="0"/>
    <s v="From pop to podcasts, itâ€™s all here."/>
    <n v="2878"/>
    <n v="278"/>
    <n v="255"/>
    <n v="47235"/>
    <n v="57922"/>
    <n v="112"/>
    <s v="#SoundtrackOfLife"/>
    <s v="#NowPlaying"/>
    <x v="0"/>
    <n v="7.2213401079707848E-2"/>
  </r>
  <r>
    <s v="SP183"/>
    <x v="1"/>
    <d v="2024-07-23T00:00:00"/>
    <x v="0"/>
    <s v="Top trending tracks updated daily!"/>
    <n v="3204"/>
    <n v="398"/>
    <n v="85"/>
    <n v="22020"/>
    <n v="58353"/>
    <n v="286"/>
    <s v="#SoundtrackOfLife"/>
    <m/>
    <x v="1"/>
    <n v="0.16743869209809265"/>
  </r>
  <r>
    <s v="SP184"/>
    <x v="1"/>
    <d v="2024-07-13T00:00:00"/>
    <x v="1"/>
    <s v="Get into the groove with our new drop!"/>
    <n v="2408"/>
    <n v="323"/>
    <n v="251"/>
    <n v="47599"/>
    <n v="35543"/>
    <n v="287"/>
    <s v="#MusicForEveryone"/>
    <s v="#NowPlaying"/>
    <x v="0"/>
    <n v="6.2648374965860634E-2"/>
  </r>
  <r>
    <s v="SP185"/>
    <x v="2"/>
    <d v="2025-04-22T00:00:00"/>
    <x v="2"/>
    <s v="New music just dropped. Hit play!"/>
    <n v="2733"/>
    <n v="297"/>
    <n v="235"/>
    <n v="37980"/>
    <n v="33058"/>
    <n v="219"/>
    <s v="#DiscoverWeekly"/>
    <s v="#SoundtrackOfLife"/>
    <x v="3"/>
    <n v="8.5966298051606105E-2"/>
  </r>
  <r>
    <s v="SP186"/>
    <x v="1"/>
    <d v="2024-06-16T00:00:00"/>
    <x v="1"/>
    <s v="Explore the latest podcasts now."/>
    <n v="4618"/>
    <n v="312"/>
    <n v="254"/>
    <n v="22571"/>
    <n v="29453"/>
    <n v="197"/>
    <s v="#MusicForEveryone"/>
    <s v="#NowPlaying"/>
    <x v="0"/>
    <n v="0.22967524699836073"/>
  </r>
  <r>
    <s v="SP187"/>
    <x v="2"/>
    <d v="2025-05-18T00:00:00"/>
    <x v="2"/>
    <s v="Wrapped is here! Relive your top tracks ðŸŽ§"/>
    <n v="4210"/>
    <n v="319"/>
    <n v="350"/>
    <n v="37762"/>
    <n v="55162"/>
    <n v="204"/>
    <s v="#DiscoverWeekly"/>
    <s v="#SoundtrackOfLife"/>
    <x v="3"/>
    <n v="0.12920396165457337"/>
  </r>
  <r>
    <s v="SP188"/>
    <x v="0"/>
    <d v="2025-06-06T00:00:00"/>
    <x v="0"/>
    <s v="Wrapped is here! Relive your top tracks ðŸŽ§"/>
    <n v="3987"/>
    <n v="171"/>
    <n v="274"/>
    <n v="45122"/>
    <n v="65431"/>
    <n v="168"/>
    <s v="#DiscoverWeekly"/>
    <m/>
    <x v="1"/>
    <n v="9.8222596516111871E-2"/>
  </r>
  <r>
    <s v="SP189"/>
    <x v="2"/>
    <d v="2025-02-20T00:00:00"/>
    <x v="2"/>
    <s v="Get into the groove with our new drop!"/>
    <n v="4957"/>
    <n v="262"/>
    <n v="365"/>
    <n v="49199"/>
    <n v="40314"/>
    <n v="216"/>
    <s v="#DiscoverWeekly"/>
    <s v="#SoundtrackOfLife"/>
    <x v="3"/>
    <n v="0.11349824183418362"/>
  </r>
  <r>
    <s v="SP190"/>
    <x v="0"/>
    <d v="2025-01-16T00:00:00"/>
    <x v="0"/>
    <s v="Music that moves youâ€”only on Spotify."/>
    <n v="2605"/>
    <n v="282"/>
    <n v="148"/>
    <n v="32201"/>
    <n v="49583"/>
    <n v="241"/>
    <s v="#SoundtrackOfLife"/>
    <s v="#NowPlaying"/>
    <x v="0"/>
    <n v="9.4251731312692155E-2"/>
  </r>
  <r>
    <s v="SP191"/>
    <x v="2"/>
    <d v="2024-02-24T00:00:00"/>
    <x v="2"/>
    <s v="Discover fresh beats on Spotify!"/>
    <n v="4221"/>
    <n v="307"/>
    <n v="58"/>
    <n v="45080"/>
    <n v="37214"/>
    <n v="240"/>
    <s v="#DiscoverWeekly"/>
    <s v="#SoundtrackOfLife"/>
    <x v="3"/>
    <n v="0.10173025732031943"/>
  </r>
  <r>
    <s v="SP192"/>
    <x v="1"/>
    <d v="2024-09-16T00:00:00"/>
    <x v="1"/>
    <s v="Whatâ€™s your vibe today? #SpotifyHits"/>
    <n v="4422"/>
    <n v="434"/>
    <n v="156"/>
    <n v="56165"/>
    <n v="52431"/>
    <n v="173"/>
    <s v="#DiscoverWeekly"/>
    <s v="#MusicForEveryone"/>
    <x v="0"/>
    <n v="8.9237069349238848E-2"/>
  </r>
  <r>
    <s v="SP193"/>
    <x v="2"/>
    <d v="2024-06-04T00:00:00"/>
    <x v="2"/>
    <s v="Wrapped is here! Relive your top tracks ðŸŽ§"/>
    <n v="1211"/>
    <n v="431"/>
    <n v="83"/>
    <n v="26532"/>
    <n v="47305"/>
    <n v="232"/>
    <s v="#DiscoverWeekly"/>
    <s v="#SoundtrackOfLife"/>
    <x v="3"/>
    <n v="6.5015829941203071E-2"/>
  </r>
  <r>
    <s v="SP194"/>
    <x v="1"/>
    <d v="2024-05-10T00:00:00"/>
    <x v="1"/>
    <s v="Explore the latest podcasts now."/>
    <n v="2784"/>
    <n v="111"/>
    <n v="399"/>
    <n v="58366"/>
    <n v="69512"/>
    <n v="269"/>
    <s v="#MusicForEveryone"/>
    <s v="#NowPlaying"/>
    <x v="0"/>
    <n v="5.6436966727204191E-2"/>
  </r>
  <r>
    <s v="SP195"/>
    <x v="2"/>
    <d v="2024-01-14T00:00:00"/>
    <x v="0"/>
    <s v="New music just dropped. Hit play!"/>
    <n v="3634"/>
    <n v="280"/>
    <n v="399"/>
    <n v="40256"/>
    <n v="52605"/>
    <n v="213"/>
    <s v="#DiscoverWeekly"/>
    <s v="#SpotifyWrapped"/>
    <x v="1"/>
    <n v="0.10713930842607314"/>
  </r>
  <r>
    <s v="SP196"/>
    <x v="0"/>
    <d v="2025-01-12T00:00:00"/>
    <x v="0"/>
    <s v="From pop to podcasts, itâ€™s all here."/>
    <n v="1771"/>
    <n v="487"/>
    <n v="272"/>
    <n v="48810"/>
    <n v="48084"/>
    <n v="272"/>
    <s v="#SoundtrackOfLife"/>
    <s v="#NowPlaying"/>
    <x v="0"/>
    <n v="5.1833640647408315E-2"/>
  </r>
  <r>
    <s v="SP197"/>
    <x v="2"/>
    <d v="2024-12-08T00:00:00"/>
    <x v="0"/>
    <s v="Top trending tracks updated daily!"/>
    <n v="1424"/>
    <n v="396"/>
    <n v="312"/>
    <n v="59517"/>
    <n v="46102"/>
    <n v="239"/>
    <s v="#DiscoverWeekly"/>
    <s v="#SpotifyWrapped"/>
    <x v="1"/>
    <n v="3.5821698002251455E-2"/>
  </r>
  <r>
    <s v="SP198"/>
    <x v="1"/>
    <d v="2025-02-01T00:00:00"/>
    <x v="1"/>
    <s v="Top trending tracks updated daily!"/>
    <n v="1079"/>
    <n v="265"/>
    <n v="190"/>
    <n v="43786"/>
    <n v="72428"/>
    <n v="222"/>
    <s v="#SoundtrackOfLife"/>
    <s v="#NowPlaying"/>
    <x v="0"/>
    <n v="3.5034029141734799E-2"/>
  </r>
  <r>
    <s v="SP199"/>
    <x v="1"/>
    <d v="2024-07-11T00:00:00"/>
    <x v="1"/>
    <s v="Get into the groove with our new drop!"/>
    <n v="4247"/>
    <n v="179"/>
    <n v="175"/>
    <n v="32991"/>
    <n v="70120"/>
    <n v="276"/>
    <s v="#SoundtrackOfLife"/>
    <s v="#NowPlaying"/>
    <x v="0"/>
    <n v="0.13946227759085811"/>
  </r>
  <r>
    <s v="SP200"/>
    <x v="1"/>
    <d v="2024-03-18T00:00:00"/>
    <x v="0"/>
    <s v="New music just dropped. Hit play!"/>
    <n v="2033"/>
    <n v="420"/>
    <n v="94"/>
    <n v="56290"/>
    <n v="57391"/>
    <n v="196"/>
    <s v="#NowPlaying"/>
    <m/>
    <x v="0"/>
    <n v="4.5247823769763724E-2"/>
  </r>
  <r>
    <s v="SP201"/>
    <x v="1"/>
    <d v="2024-09-12T00:00:00"/>
    <x v="1"/>
    <s v="Wrapped is here! Relive your top tracks ðŸŽ§"/>
    <n v="1839"/>
    <n v="223"/>
    <n v="171"/>
    <n v="35459"/>
    <n v="69988"/>
    <n v="114"/>
    <s v="#MusicForEveryone"/>
    <s v="#NowPlaying"/>
    <x v="0"/>
    <n v="6.2974139146620034E-2"/>
  </r>
  <r>
    <s v="SP202"/>
    <x v="1"/>
    <d v="2024-01-11T00:00:00"/>
    <x v="1"/>
    <s v="Wrapped is here! Relive your top tracks ðŸŽ§"/>
    <n v="2340"/>
    <n v="141"/>
    <n v="206"/>
    <n v="24916"/>
    <n v="30582"/>
    <n v="157"/>
    <s v="#SoundtrackOfLife"/>
    <s v="#NowPlaying"/>
    <x v="0"/>
    <n v="0.10784235029699792"/>
  </r>
  <r>
    <s v="SP203"/>
    <x v="0"/>
    <d v="2024-10-06T00:00:00"/>
    <x v="0"/>
    <s v="Top trending tracks updated daily!"/>
    <n v="2080"/>
    <n v="389"/>
    <n v="92"/>
    <n v="30971"/>
    <n v="25347"/>
    <n v="111"/>
    <s v="#DiscoverWeekly"/>
    <m/>
    <x v="1"/>
    <n v="8.2690258629040073E-2"/>
  </r>
  <r>
    <s v="SP204"/>
    <x v="1"/>
    <d v="2024-12-30T00:00:00"/>
    <x v="0"/>
    <s v="Get into the groove with our new drop!"/>
    <n v="4214"/>
    <n v="286"/>
    <n v="127"/>
    <n v="47293"/>
    <n v="27184"/>
    <n v="232"/>
    <s v="#NowPlaying"/>
    <m/>
    <x v="0"/>
    <n v="9.7836889180216949E-2"/>
  </r>
  <r>
    <s v="SP205"/>
    <x v="1"/>
    <d v="2025-04-16T00:00:00"/>
    <x v="0"/>
    <s v="Wrapped is here! Relive your top tracks ðŸŽ§"/>
    <n v="3792"/>
    <n v="315"/>
    <n v="120"/>
    <n v="54592"/>
    <n v="67886"/>
    <n v="117"/>
    <s v="#SoundtrackOfLife"/>
    <m/>
    <x v="1"/>
    <n v="7.7428927315357568E-2"/>
  </r>
  <r>
    <s v="SP206"/>
    <x v="1"/>
    <d v="2024-08-21T00:00:00"/>
    <x v="1"/>
    <s v="Explore the latest podcasts now."/>
    <n v="3989"/>
    <n v="476"/>
    <n v="128"/>
    <n v="57569"/>
    <n v="40193"/>
    <n v="222"/>
    <s v="#DiscoverWeekly"/>
    <s v="#MusicForEveryone"/>
    <x v="0"/>
    <n v="7.9782521843353188E-2"/>
  </r>
  <r>
    <s v="SP207"/>
    <x v="1"/>
    <d v="2024-04-05T00:00:00"/>
    <x v="1"/>
    <s v="Wrapped is here! Relive your top tracks ðŸŽ§"/>
    <n v="2857"/>
    <n v="443"/>
    <n v="359"/>
    <n v="51519"/>
    <n v="28256"/>
    <n v="155"/>
    <s v="#SoundtrackOfLife"/>
    <s v="#NowPlaying"/>
    <x v="0"/>
    <n v="7.1022341272152026E-2"/>
  </r>
  <r>
    <s v="SP208"/>
    <x v="1"/>
    <d v="2025-04-07T00:00:00"/>
    <x v="0"/>
    <s v="From pop to podcasts, itâ€™s all here."/>
    <n v="1403"/>
    <n v="385"/>
    <n v="344"/>
    <n v="54223"/>
    <n v="72595"/>
    <n v="239"/>
    <s v="#SoundtrackOfLife"/>
    <m/>
    <x v="1"/>
    <n v="3.9319108127547353E-2"/>
  </r>
  <r>
    <s v="SP209"/>
    <x v="1"/>
    <d v="2024-07-19T00:00:00"/>
    <x v="1"/>
    <s v="Whatâ€™s your vibe today? #SpotifyHits"/>
    <n v="3071"/>
    <n v="126"/>
    <n v="200"/>
    <n v="44013"/>
    <n v="44679"/>
    <n v="118"/>
    <s v="#DiscoverWeekly"/>
    <s v="#MusicForEveryone"/>
    <x v="0"/>
    <n v="7.7181741758116915E-2"/>
  </r>
  <r>
    <s v="SP210"/>
    <x v="1"/>
    <d v="2025-05-03T00:00:00"/>
    <x v="1"/>
    <s v="Top trending tracks updated daily!"/>
    <n v="1010"/>
    <n v="361"/>
    <n v="240"/>
    <n v="47229"/>
    <n v="72573"/>
    <n v="275"/>
    <s v="#SoundtrackOfLife"/>
    <s v="#NowPlaying"/>
    <x v="0"/>
    <n v="3.4110398272247981E-2"/>
  </r>
  <r>
    <s v="SP211"/>
    <x v="1"/>
    <d v="2024-04-14T00:00:00"/>
    <x v="1"/>
    <s v="Discover fresh beats on Spotify!"/>
    <n v="1295"/>
    <n v="153"/>
    <n v="81"/>
    <n v="48350"/>
    <n v="61033"/>
    <n v="232"/>
    <s v="#DiscoverWeekly"/>
    <s v="#MusicForEveryone"/>
    <x v="0"/>
    <n v="3.1623578076525334E-2"/>
  </r>
  <r>
    <s v="SP212"/>
    <x v="1"/>
    <d v="2025-06-19T00:00:00"/>
    <x v="1"/>
    <s v="Whatâ€™s your vibe today? #SpotifyHits"/>
    <n v="1433"/>
    <n v="452"/>
    <n v="305"/>
    <n v="54541"/>
    <n v="63700"/>
    <n v="296"/>
    <s v="#DiscoverWeekly"/>
    <s v="#MusicForEveryone"/>
    <x v="0"/>
    <n v="4.0153279184466734E-2"/>
  </r>
  <r>
    <s v="SP213"/>
    <x v="0"/>
    <d v="2025-06-24T00:00:00"/>
    <x v="1"/>
    <s v="Get into the groove with our new drop!"/>
    <n v="4902"/>
    <n v="422"/>
    <n v="376"/>
    <n v="31674"/>
    <n v="53225"/>
    <n v="147"/>
    <s v="#NowPlaying"/>
    <m/>
    <x v="2"/>
    <n v="0.17995832544042431"/>
  </r>
  <r>
    <s v="SP214"/>
    <x v="1"/>
    <d v="2024-10-09T00:00:00"/>
    <x v="0"/>
    <s v="Wrapped is here! Relive your top tracks ðŸŽ§"/>
    <n v="2659"/>
    <n v="167"/>
    <n v="73"/>
    <n v="23090"/>
    <n v="25872"/>
    <n v="293"/>
    <s v="#SoundtrackOfLife"/>
    <m/>
    <x v="1"/>
    <n v="0.12555218709398008"/>
  </r>
  <r>
    <s v="SP215"/>
    <x v="2"/>
    <d v="2025-01-15T00:00:00"/>
    <x v="0"/>
    <s v="Your weekend playlist is waiting."/>
    <n v="2599"/>
    <n v="324"/>
    <n v="182"/>
    <n v="37525"/>
    <n v="37216"/>
    <n v="186"/>
    <s v="#DiscoverWeekly"/>
    <s v="#SpotifyWrapped"/>
    <x v="1"/>
    <n v="8.2744836775483013E-2"/>
  </r>
  <r>
    <s v="SP216"/>
    <x v="1"/>
    <d v="2025-01-12T00:00:00"/>
    <x v="0"/>
    <s v="Music that moves youâ€”only on Spotify."/>
    <n v="1765"/>
    <n v="285"/>
    <n v="100"/>
    <n v="41313"/>
    <n v="56575"/>
    <n v="174"/>
    <s v="#SoundtrackOfLife"/>
    <m/>
    <x v="1"/>
    <n v="5.2041730205988429E-2"/>
  </r>
  <r>
    <s v="SP217"/>
    <x v="0"/>
    <d v="2025-05-31T00:00:00"/>
    <x v="0"/>
    <s v="Whatâ€™s your vibe today? #SpotifyHits"/>
    <n v="2169"/>
    <n v="240"/>
    <n v="57"/>
    <n v="26109"/>
    <n v="46667"/>
    <n v="133"/>
    <s v="#SoundtrackOfLife"/>
    <s v="#NowPlaying"/>
    <x v="0"/>
    <n v="9.4450189589796618E-2"/>
  </r>
  <r>
    <s v="SP218"/>
    <x v="1"/>
    <d v="2024-10-14T00:00:00"/>
    <x v="1"/>
    <s v="Explore the latest podcasts now."/>
    <n v="4303"/>
    <n v="306"/>
    <n v="302"/>
    <n v="39575"/>
    <n v="33762"/>
    <n v="265"/>
    <s v="#DiscoverWeekly"/>
    <s v="#MusicForEveryone"/>
    <x v="0"/>
    <n v="0.12409349336702463"/>
  </r>
  <r>
    <s v="SP219"/>
    <x v="1"/>
    <d v="2024-02-10T00:00:00"/>
    <x v="0"/>
    <s v="From pop to podcasts, itâ€™s all here."/>
    <n v="1519"/>
    <n v="456"/>
    <n v="379"/>
    <n v="51611"/>
    <n v="45880"/>
    <n v="176"/>
    <s v="#SoundtrackOfLife"/>
    <m/>
    <x v="1"/>
    <n v="4.5610431884675749E-2"/>
  </r>
  <r>
    <s v="SP220"/>
    <x v="2"/>
    <d v="2024-12-10T00:00:00"/>
    <x v="0"/>
    <s v="Whatâ€™s your vibe today? #SpotifyHits"/>
    <n v="2569"/>
    <n v="140"/>
    <n v="375"/>
    <n v="38372"/>
    <n v="22102"/>
    <n v="255"/>
    <s v="#DiscoverWeekly"/>
    <s v="#SpotifyWrapped"/>
    <x v="1"/>
    <n v="8.0371103929948923E-2"/>
  </r>
  <r>
    <s v="SP221"/>
    <x v="1"/>
    <d v="2025-05-09T00:00:00"/>
    <x v="1"/>
    <s v="Music that moves youâ€”only on Spotify."/>
    <n v="2778"/>
    <n v="241"/>
    <n v="317"/>
    <n v="26247"/>
    <n v="20677"/>
    <n v="282"/>
    <s v="#MusicForEveryone"/>
    <s v="#NowPlaying"/>
    <x v="0"/>
    <n v="0.1271002400274317"/>
  </r>
  <r>
    <s v="SP222"/>
    <x v="1"/>
    <d v="2025-06-21T00:00:00"/>
    <x v="0"/>
    <s v="Explore the latest podcasts now."/>
    <n v="3611"/>
    <n v="127"/>
    <n v="139"/>
    <n v="44768"/>
    <n v="29435"/>
    <n v="178"/>
    <s v="#NowPlaying"/>
    <m/>
    <x v="0"/>
    <n v="8.6602037169406718E-2"/>
  </r>
  <r>
    <s v="SP223"/>
    <x v="1"/>
    <d v="2024-06-19T00:00:00"/>
    <x v="0"/>
    <s v="Whatâ€™s your vibe today? #SpotifyHits"/>
    <n v="1224"/>
    <n v="168"/>
    <n v="199"/>
    <n v="54232"/>
    <n v="52844"/>
    <n v="271"/>
    <s v="#SoundtrackOfLife"/>
    <m/>
    <x v="1"/>
    <n v="2.9336922849977874E-2"/>
  </r>
  <r>
    <s v="SP224"/>
    <x v="1"/>
    <d v="2024-12-10T00:00:00"/>
    <x v="0"/>
    <s v="From pop to podcasts, itâ€™s all here."/>
    <n v="4673"/>
    <n v="270"/>
    <n v="93"/>
    <n v="45260"/>
    <n v="57513"/>
    <n v="103"/>
    <s v="#NowPlaying"/>
    <m/>
    <x v="0"/>
    <n v="0.11126822801590809"/>
  </r>
  <r>
    <s v="SP225"/>
    <x v="2"/>
    <d v="2024-02-01T00:00:00"/>
    <x v="0"/>
    <s v="Wrapped is here! Relive your top tracks ðŸŽ§"/>
    <n v="1432"/>
    <n v="437"/>
    <n v="267"/>
    <n v="40634"/>
    <n v="54511"/>
    <n v="197"/>
    <s v="#DiscoverWeekly"/>
    <s v="#SpotifyWrapped"/>
    <x v="1"/>
    <n v="5.2566815966924252E-2"/>
  </r>
  <r>
    <s v="SP226"/>
    <x v="1"/>
    <d v="2024-01-17T00:00:00"/>
    <x v="1"/>
    <s v="New music just dropped. Hit play!"/>
    <n v="2174"/>
    <n v="499"/>
    <n v="212"/>
    <n v="54938"/>
    <n v="27190"/>
    <n v="265"/>
    <s v="#MusicForEveryone"/>
    <s v="#NowPlaying"/>
    <x v="0"/>
    <n v="5.2513742764570971E-2"/>
  </r>
  <r>
    <s v="SP227"/>
    <x v="2"/>
    <d v="2025-03-22T00:00:00"/>
    <x v="0"/>
    <s v="Music that moves youâ€”only on Spotify."/>
    <n v="4308"/>
    <n v="171"/>
    <n v="106"/>
    <n v="36955"/>
    <n v="23949"/>
    <n v="294"/>
    <s v="#DiscoverWeekly"/>
    <s v="#SpotifyWrapped"/>
    <x v="1"/>
    <n v="0.12406981463942633"/>
  </r>
  <r>
    <s v="SP228"/>
    <x v="2"/>
    <d v="2024-05-30T00:00:00"/>
    <x v="2"/>
    <s v="Whatâ€™s your vibe today? #SpotifyHits"/>
    <n v="1060"/>
    <n v="442"/>
    <n v="319"/>
    <n v="57194"/>
    <n v="24258"/>
    <n v="101"/>
    <s v="#DiscoverWeekly"/>
    <s v="#SoundtrackOfLife"/>
    <x v="3"/>
    <n v="3.1839004091338254E-2"/>
  </r>
  <r>
    <s v="SP229"/>
    <x v="2"/>
    <d v="2024-02-24T00:00:00"/>
    <x v="0"/>
    <s v="Music that moves youâ€”only on Spotify."/>
    <n v="4653"/>
    <n v="226"/>
    <n v="349"/>
    <n v="56876"/>
    <n v="28452"/>
    <n v="257"/>
    <s v="#DiscoverWeekly"/>
    <s v="#SpotifyWrapped"/>
    <x v="1"/>
    <n v="9.191926295801392E-2"/>
  </r>
  <r>
    <s v="SP230"/>
    <x v="2"/>
    <d v="2025-05-14T00:00:00"/>
    <x v="0"/>
    <s v="Discover fresh beats on Spotify!"/>
    <n v="1701"/>
    <n v="272"/>
    <n v="385"/>
    <n v="47496"/>
    <n v="40832"/>
    <n v="246"/>
    <s v="#DiscoverWeekly"/>
    <s v="#SpotifyWrapped"/>
    <x v="1"/>
    <n v="4.9646286003031836E-2"/>
  </r>
  <r>
    <s v="SP231"/>
    <x v="0"/>
    <d v="2024-03-28T00:00:00"/>
    <x v="0"/>
    <s v="Whatâ€™s your vibe today? #SpotifyHits"/>
    <n v="1673"/>
    <n v="280"/>
    <n v="67"/>
    <n v="29847"/>
    <n v="48016"/>
    <n v="213"/>
    <s v="#SoundtrackOfLife"/>
    <s v="#NowPlaying"/>
    <x v="0"/>
    <n v="6.76784936509532E-2"/>
  </r>
  <r>
    <s v="SP232"/>
    <x v="2"/>
    <d v="2025-03-07T00:00:00"/>
    <x v="0"/>
    <s v="Top trending tracks updated daily!"/>
    <n v="4310"/>
    <n v="284"/>
    <n v="306"/>
    <n v="44606"/>
    <n v="42604"/>
    <n v="290"/>
    <s v="#DiscoverWeekly"/>
    <s v="#SpotifyWrapped"/>
    <x v="1"/>
    <n v="0.10985069273191947"/>
  </r>
  <r>
    <s v="SP233"/>
    <x v="1"/>
    <d v="2024-10-20T00:00:00"/>
    <x v="0"/>
    <s v="From pop to podcasts, itâ€™s all here."/>
    <n v="2752"/>
    <n v="309"/>
    <n v="91"/>
    <n v="39038"/>
    <n v="28095"/>
    <n v="277"/>
    <s v="#NowPlaying"/>
    <m/>
    <x v="0"/>
    <n v="8.0741841282852611E-2"/>
  </r>
  <r>
    <s v="SP234"/>
    <x v="1"/>
    <d v="2024-02-02T00:00:00"/>
    <x v="0"/>
    <s v="From pop to podcasts, itâ€™s all here."/>
    <n v="3818"/>
    <n v="115"/>
    <n v="286"/>
    <n v="25127"/>
    <n v="22277"/>
    <n v="263"/>
    <s v="#NowPlaying"/>
    <m/>
    <x v="0"/>
    <n v="0.16790703227603773"/>
  </r>
  <r>
    <s v="SP235"/>
    <x v="2"/>
    <d v="2024-09-07T00:00:00"/>
    <x v="0"/>
    <s v="Your weekend playlist is waiting."/>
    <n v="2101"/>
    <n v="411"/>
    <n v="190"/>
    <n v="41791"/>
    <n v="57090"/>
    <n v="172"/>
    <s v="#DiscoverWeekly"/>
    <s v="#SpotifyWrapped"/>
    <x v="1"/>
    <n v="6.4655069273288512E-2"/>
  </r>
  <r>
    <s v="SP236"/>
    <x v="0"/>
    <d v="2024-12-20T00:00:00"/>
    <x v="0"/>
    <s v="Discover fresh beats on Spotify!"/>
    <n v="2519"/>
    <n v="202"/>
    <n v="239"/>
    <n v="36245"/>
    <n v="48606"/>
    <n v="145"/>
    <s v="#DiscoverWeekly"/>
    <m/>
    <x v="1"/>
    <n v="8.1666436749896543E-2"/>
  </r>
  <r>
    <s v="SP237"/>
    <x v="2"/>
    <d v="2024-01-14T00:00:00"/>
    <x v="0"/>
    <s v="Whatâ€™s your vibe today? #SpotifyHits"/>
    <n v="4502"/>
    <n v="238"/>
    <n v="386"/>
    <n v="39198"/>
    <n v="25050"/>
    <n v="297"/>
    <s v="#DiscoverWeekly"/>
    <s v="#SpotifyWrapped"/>
    <x v="1"/>
    <n v="0.13077197816215114"/>
  </r>
  <r>
    <s v="SP238"/>
    <x v="0"/>
    <d v="2025-06-15T00:00:00"/>
    <x v="0"/>
    <s v="Explore the latest podcasts now."/>
    <n v="2478"/>
    <n v="427"/>
    <n v="242"/>
    <n v="59272"/>
    <n v="37833"/>
    <n v="214"/>
    <s v="#SoundtrackOfLife"/>
    <s v="#NowPlaying"/>
    <x v="0"/>
    <n v="5.3094209744904843E-2"/>
  </r>
  <r>
    <s v="SP239"/>
    <x v="1"/>
    <d v="2024-12-13T00:00:00"/>
    <x v="1"/>
    <s v="New music just dropped. Hit play!"/>
    <n v="4984"/>
    <n v="300"/>
    <n v="338"/>
    <n v="32900"/>
    <n v="31691"/>
    <n v="160"/>
    <s v="#MusicForEveryone"/>
    <s v="#NowPlaying"/>
    <x v="0"/>
    <n v="0.17088145896656534"/>
  </r>
  <r>
    <s v="SP240"/>
    <x v="2"/>
    <d v="2024-08-29T00:00:00"/>
    <x v="0"/>
    <s v="Wrapped is here! Relive your top tracks ðŸŽ§"/>
    <n v="4774"/>
    <n v="389"/>
    <n v="358"/>
    <n v="52346"/>
    <n v="30518"/>
    <n v="277"/>
    <s v="#DiscoverWeekly"/>
    <s v="#SpotifyWrapped"/>
    <x v="1"/>
    <n v="0.10547128720437092"/>
  </r>
  <r>
    <s v="SP241"/>
    <x v="1"/>
    <d v="2024-09-15T00:00:00"/>
    <x v="0"/>
    <s v="Get into the groove with our new drop!"/>
    <n v="2145"/>
    <n v="340"/>
    <n v="85"/>
    <n v="53323"/>
    <n v="49938"/>
    <n v="104"/>
    <s v="#NowPlaying"/>
    <m/>
    <x v="0"/>
    <n v="4.819683813738912E-2"/>
  </r>
  <r>
    <s v="SP242"/>
    <x v="1"/>
    <d v="2025-04-12T00:00:00"/>
    <x v="1"/>
    <s v="From pop to podcasts, itâ€™s all here."/>
    <n v="4315"/>
    <n v="208"/>
    <n v="273"/>
    <n v="35780"/>
    <n v="44349"/>
    <n v="133"/>
    <s v="#DiscoverWeekly"/>
    <s v="#MusicForEveryone"/>
    <x v="0"/>
    <n v="0.13404136389044158"/>
  </r>
  <r>
    <s v="SP243"/>
    <x v="1"/>
    <d v="2024-12-10T00:00:00"/>
    <x v="1"/>
    <s v="Wrapped is here! Relive your top tracks ðŸŽ§"/>
    <n v="2267"/>
    <n v="230"/>
    <n v="243"/>
    <n v="27904"/>
    <n v="69771"/>
    <n v="255"/>
    <s v="#DiscoverWeekly"/>
    <s v="#MusicForEveryone"/>
    <x v="0"/>
    <n v="9.8193807339449546E-2"/>
  </r>
  <r>
    <s v="SP244"/>
    <x v="2"/>
    <d v="2025-06-08T00:00:00"/>
    <x v="0"/>
    <s v="Music that moves youâ€”only on Spotify."/>
    <n v="4375"/>
    <n v="303"/>
    <n v="294"/>
    <n v="57468"/>
    <n v="53397"/>
    <n v="159"/>
    <s v="#DiscoverWeekly"/>
    <s v="#SpotifyWrapped"/>
    <x v="1"/>
    <n v="8.6517714206166912E-2"/>
  </r>
  <r>
    <s v="SP245"/>
    <x v="1"/>
    <d v="2025-01-09T00:00:00"/>
    <x v="1"/>
    <s v="Your weekend playlist is waiting."/>
    <n v="3817"/>
    <n v="284"/>
    <n v="204"/>
    <n v="46434"/>
    <n v="53396"/>
    <n v="104"/>
    <s v="#MusicForEveryone"/>
    <s v="#NowPlaying"/>
    <x v="0"/>
    <n v="9.2712236723090841E-2"/>
  </r>
  <r>
    <s v="SP246"/>
    <x v="1"/>
    <d v="2024-07-08T00:00:00"/>
    <x v="1"/>
    <s v="Top trending tracks updated daily!"/>
    <n v="2981"/>
    <n v="258"/>
    <n v="168"/>
    <n v="20677"/>
    <n v="68290"/>
    <n v="130"/>
    <s v="#SoundtrackOfLife"/>
    <s v="#NowPlaying"/>
    <x v="0"/>
    <n v="0.16477245248343569"/>
  </r>
  <r>
    <s v="SP247"/>
    <x v="1"/>
    <d v="2024-09-16T00:00:00"/>
    <x v="1"/>
    <s v="Your weekend playlist is waiting."/>
    <n v="3300"/>
    <n v="354"/>
    <n v="397"/>
    <n v="56773"/>
    <n v="72110"/>
    <n v="163"/>
    <s v="#DiscoverWeekly"/>
    <s v="#MusicForEveryone"/>
    <x v="0"/>
    <n v="7.1354340971940891E-2"/>
  </r>
  <r>
    <s v="SP248"/>
    <x v="2"/>
    <d v="2024-06-14T00:00:00"/>
    <x v="2"/>
    <s v="Wrapped is here! Relive your top tracks ðŸŽ§"/>
    <n v="4722"/>
    <n v="310"/>
    <n v="344"/>
    <n v="27911"/>
    <n v="19000"/>
    <n v="225"/>
    <s v="#DiscoverWeekly"/>
    <s v="#SoundtrackOfLife"/>
    <x v="3"/>
    <n v="0.19261223173659131"/>
  </r>
  <r>
    <s v="SP249"/>
    <x v="0"/>
    <d v="2024-03-06T00:00:00"/>
    <x v="0"/>
    <s v="Whatâ€™s your vibe today? #SpotifyHits"/>
    <n v="3529"/>
    <n v="263"/>
    <n v="107"/>
    <n v="26570"/>
    <n v="19367"/>
    <n v="96"/>
    <s v="#DiscoverWeekly"/>
    <m/>
    <x v="1"/>
    <n v="0.14674444862627023"/>
  </r>
  <r>
    <s v="SP250"/>
    <x v="1"/>
    <d v="2025-05-15T00:00:00"/>
    <x v="0"/>
    <s v="Your weekend playlist is waiting."/>
    <n v="4782"/>
    <n v="210"/>
    <n v="311"/>
    <n v="29793"/>
    <n v="37543"/>
    <n v="145"/>
    <s v="#NowPlaying"/>
    <m/>
    <x v="0"/>
    <n v="0.17799483100057059"/>
  </r>
  <r>
    <s v="SP251"/>
    <x v="1"/>
    <d v="2024-07-07T00:00:00"/>
    <x v="0"/>
    <s v="Whatâ€™s your vibe today? #SpotifyHits"/>
    <n v="1848"/>
    <n v="417"/>
    <n v="294"/>
    <n v="57819"/>
    <n v="19798"/>
    <n v="262"/>
    <s v="#SoundtrackOfLife"/>
    <m/>
    <x v="1"/>
    <n v="4.4258807658382193E-2"/>
  </r>
  <r>
    <s v="SP252"/>
    <x v="2"/>
    <d v="2024-10-26T00:00:00"/>
    <x v="0"/>
    <s v="New music just dropped. Hit play!"/>
    <n v="4676"/>
    <n v="211"/>
    <n v="55"/>
    <n v="45917"/>
    <n v="73503"/>
    <n v="248"/>
    <s v="#DiscoverWeekly"/>
    <s v="#SpotifyWrapped"/>
    <x v="1"/>
    <n v="0.10762898272970794"/>
  </r>
  <r>
    <s v="SP253"/>
    <x v="2"/>
    <d v="2024-08-08T00:00:00"/>
    <x v="0"/>
    <s v="From pop to podcasts, itâ€™s all here."/>
    <n v="1994"/>
    <n v="197"/>
    <n v="290"/>
    <n v="49500"/>
    <n v="23343"/>
    <n v="160"/>
    <s v="#DiscoverWeekly"/>
    <s v="#SpotifyWrapped"/>
    <x v="1"/>
    <n v="5.0121212121212122E-2"/>
  </r>
  <r>
    <s v="SP254"/>
    <x v="1"/>
    <d v="2025-02-03T00:00:00"/>
    <x v="0"/>
    <s v="Whatâ€™s your vibe today? #SpotifyHits"/>
    <n v="4995"/>
    <n v="231"/>
    <n v="94"/>
    <n v="34431"/>
    <n v="32560"/>
    <n v="262"/>
    <s v="#NowPlaying"/>
    <m/>
    <x v="0"/>
    <n v="0.15451192239551567"/>
  </r>
  <r>
    <s v="SP255"/>
    <x v="1"/>
    <d v="2024-04-03T00:00:00"/>
    <x v="1"/>
    <s v="Top trending tracks updated daily!"/>
    <n v="2291"/>
    <n v="146"/>
    <n v="399"/>
    <n v="49319"/>
    <n v="28056"/>
    <n v="90"/>
    <s v="#DiscoverWeekly"/>
    <s v="#MusicForEveryone"/>
    <x v="0"/>
    <n v="5.7503193495407452E-2"/>
  </r>
  <r>
    <s v="SP256"/>
    <x v="1"/>
    <d v="2024-07-08T00:00:00"/>
    <x v="1"/>
    <s v="Wrapped is here! Relive your top tracks ðŸŽ§"/>
    <n v="2304"/>
    <n v="289"/>
    <n v="161"/>
    <n v="52645"/>
    <n v="66262"/>
    <n v="146"/>
    <s v="#MusicForEveryone"/>
    <s v="#NowPlaying"/>
    <x v="0"/>
    <n v="5.2312660271630736E-2"/>
  </r>
  <r>
    <s v="SP257"/>
    <x v="1"/>
    <d v="2024-06-08T00:00:00"/>
    <x v="1"/>
    <s v="Top trending tracks updated daily!"/>
    <n v="3413"/>
    <n v="326"/>
    <n v="86"/>
    <n v="44680"/>
    <n v="52719"/>
    <n v="272"/>
    <s v="#DiscoverWeekly"/>
    <s v="#MusicForEveryone"/>
    <x v="0"/>
    <n v="8.5608773500447627E-2"/>
  </r>
  <r>
    <s v="SP258"/>
    <x v="2"/>
    <d v="2025-03-20T00:00:00"/>
    <x v="2"/>
    <s v="From pop to podcasts, itâ€™s all here."/>
    <n v="1453"/>
    <n v="156"/>
    <n v="178"/>
    <n v="52980"/>
    <n v="57180"/>
    <n v="286"/>
    <s v="#DiscoverWeekly"/>
    <s v="#SoundtrackOfLife"/>
    <x v="3"/>
    <n v="3.3729709324273313E-2"/>
  </r>
  <r>
    <s v="SP259"/>
    <x v="1"/>
    <d v="2025-01-19T00:00:00"/>
    <x v="1"/>
    <s v="Music that moves youâ€”only on Spotify."/>
    <n v="1651"/>
    <n v="480"/>
    <n v="282"/>
    <n v="32140"/>
    <n v="70560"/>
    <n v="138"/>
    <s v="#SoundtrackOfLife"/>
    <s v="#NowPlaying"/>
    <x v="0"/>
    <n v="7.5077784691972627E-2"/>
  </r>
  <r>
    <s v="SP260"/>
    <x v="1"/>
    <d v="2025-01-05T00:00:00"/>
    <x v="1"/>
    <s v="Explore the latest podcasts now."/>
    <n v="3341"/>
    <n v="154"/>
    <n v="123"/>
    <n v="43369"/>
    <n v="49035"/>
    <n v="128"/>
    <s v="#MusicForEveryone"/>
    <s v="#NowPlaying"/>
    <x v="0"/>
    <n v="8.3423643616408028E-2"/>
  </r>
  <r>
    <s v="SP261"/>
    <x v="1"/>
    <d v="2024-11-16T00:00:00"/>
    <x v="0"/>
    <s v="From pop to podcasts, itâ€™s all here."/>
    <n v="2972"/>
    <n v="263"/>
    <n v="308"/>
    <n v="51740"/>
    <n v="28214"/>
    <n v="190"/>
    <s v="#SoundtrackOfLife"/>
    <m/>
    <x v="1"/>
    <n v="6.8477000386548123E-2"/>
  </r>
  <r>
    <s v="SP262"/>
    <x v="1"/>
    <d v="2024-11-30T00:00:00"/>
    <x v="1"/>
    <s v="Explore the latest podcasts now."/>
    <n v="4963"/>
    <n v="255"/>
    <n v="193"/>
    <n v="44386"/>
    <n v="28415"/>
    <n v="174"/>
    <s v="#MusicForEveryone"/>
    <s v="#NowPlaying"/>
    <x v="0"/>
    <n v="0.12190780876853062"/>
  </r>
  <r>
    <s v="SP263"/>
    <x v="2"/>
    <d v="2024-03-27T00:00:00"/>
    <x v="0"/>
    <s v="Music that moves youâ€”only on Spotify."/>
    <n v="2399"/>
    <n v="191"/>
    <n v="221"/>
    <n v="51603"/>
    <n v="40033"/>
    <n v="173"/>
    <s v="#DiscoverWeekly"/>
    <s v="#SpotifyWrapped"/>
    <x v="1"/>
    <n v="5.4473577117609438E-2"/>
  </r>
  <r>
    <s v="SP264"/>
    <x v="2"/>
    <d v="2025-05-31T00:00:00"/>
    <x v="2"/>
    <s v="Get into the groove with our new drop!"/>
    <n v="2162"/>
    <n v="318"/>
    <n v="83"/>
    <n v="46719"/>
    <n v="20482"/>
    <n v="185"/>
    <s v="#DiscoverWeekly"/>
    <s v="#SoundtrackOfLife"/>
    <x v="3"/>
    <n v="5.4859907104176028E-2"/>
  </r>
  <r>
    <s v="SP265"/>
    <x v="1"/>
    <d v="2025-06-17T00:00:00"/>
    <x v="1"/>
    <s v="Explore the latest podcasts now."/>
    <n v="4341"/>
    <n v="141"/>
    <n v="63"/>
    <n v="50081"/>
    <n v="27507"/>
    <n v="221"/>
    <s v="#DiscoverWeekly"/>
    <s v="#MusicForEveryone"/>
    <x v="0"/>
    <n v="9.0752980172121162E-2"/>
  </r>
  <r>
    <s v="SP266"/>
    <x v="0"/>
    <d v="2024-05-30T00:00:00"/>
    <x v="1"/>
    <s v="Get into the groove with our new drop!"/>
    <n v="2448"/>
    <n v="464"/>
    <n v="98"/>
    <n v="25737"/>
    <n v="48545"/>
    <n v="246"/>
    <s v="#NowPlaying"/>
    <m/>
    <x v="2"/>
    <n v="0.11695224773672146"/>
  </r>
  <r>
    <s v="SP267"/>
    <x v="2"/>
    <d v="2024-11-08T00:00:00"/>
    <x v="0"/>
    <s v="Top trending tracks updated daily!"/>
    <n v="2471"/>
    <n v="166"/>
    <n v="320"/>
    <n v="48254"/>
    <n v="46900"/>
    <n v="111"/>
    <s v="#DiscoverWeekly"/>
    <s v="#SpotifyWrapped"/>
    <x v="1"/>
    <n v="6.1279893894806647E-2"/>
  </r>
  <r>
    <s v="SP268"/>
    <x v="2"/>
    <d v="2024-03-17T00:00:00"/>
    <x v="2"/>
    <s v="Explore the latest podcasts now."/>
    <n v="2692"/>
    <n v="446"/>
    <n v="216"/>
    <n v="45818"/>
    <n v="62723"/>
    <n v="85"/>
    <s v="#DiscoverWeekly"/>
    <s v="#SoundtrackOfLife"/>
    <x v="3"/>
    <n v="7.3202671439172376E-2"/>
  </r>
  <r>
    <s v="SP269"/>
    <x v="2"/>
    <d v="2024-06-21T00:00:00"/>
    <x v="2"/>
    <s v="Music that moves youâ€”only on Spotify."/>
    <n v="4621"/>
    <n v="374"/>
    <n v="298"/>
    <n v="56979"/>
    <n v="24098"/>
    <n v="205"/>
    <s v="#DiscoverWeekly"/>
    <s v="#SoundtrackOfLife"/>
    <x v="3"/>
    <n v="9.2893873181347508E-2"/>
  </r>
  <r>
    <s v="SP270"/>
    <x v="1"/>
    <d v="2024-11-13T00:00:00"/>
    <x v="1"/>
    <s v="New music just dropped. Hit play!"/>
    <n v="1409"/>
    <n v="466"/>
    <n v="105"/>
    <n v="58923"/>
    <n v="38753"/>
    <n v="265"/>
    <s v="#DiscoverWeekly"/>
    <s v="#MusicForEveryone"/>
    <x v="0"/>
    <n v="3.3603177027646251E-2"/>
  </r>
  <r>
    <s v="SP271"/>
    <x v="1"/>
    <d v="2025-02-05T00:00:00"/>
    <x v="1"/>
    <s v="Discover fresh beats on Spotify!"/>
    <n v="3029"/>
    <n v="440"/>
    <n v="66"/>
    <n v="23815"/>
    <n v="47895"/>
    <n v="210"/>
    <s v="#DiscoverWeekly"/>
    <s v="#MusicForEveryone"/>
    <x v="0"/>
    <n v="0.14843585975225698"/>
  </r>
  <r>
    <s v="SP272"/>
    <x v="1"/>
    <d v="2024-11-07T00:00:00"/>
    <x v="0"/>
    <s v="Explore the latest podcasts now."/>
    <n v="2229"/>
    <n v="395"/>
    <n v="328"/>
    <n v="56921"/>
    <n v="37176"/>
    <n v="126"/>
    <s v="#SoundtrackOfLife"/>
    <m/>
    <x v="1"/>
    <n v="5.1861351697967357E-2"/>
  </r>
  <r>
    <s v="SP273"/>
    <x v="1"/>
    <d v="2024-02-12T00:00:00"/>
    <x v="0"/>
    <s v="Explore the latest podcasts now."/>
    <n v="2691"/>
    <n v="486"/>
    <n v="206"/>
    <n v="51133"/>
    <n v="44583"/>
    <n v="276"/>
    <s v="#NowPlaying"/>
    <m/>
    <x v="0"/>
    <n v="6.6160796354604659E-2"/>
  </r>
  <r>
    <s v="SP274"/>
    <x v="0"/>
    <d v="2024-10-08T00:00:00"/>
    <x v="0"/>
    <s v="Explore the latest podcasts now."/>
    <n v="2110"/>
    <n v="384"/>
    <n v="236"/>
    <n v="49965"/>
    <n v="61555"/>
    <n v="195"/>
    <s v="#DiscoverWeekly"/>
    <m/>
    <x v="1"/>
    <n v="5.4638246772740921E-2"/>
  </r>
  <r>
    <s v="SP275"/>
    <x v="0"/>
    <d v="2024-02-19T00:00:00"/>
    <x v="0"/>
    <s v="Wrapped is here! Relive your top tracks ðŸŽ§"/>
    <n v="4752"/>
    <n v="449"/>
    <n v="309"/>
    <n v="58530"/>
    <n v="26630"/>
    <n v="234"/>
    <s v="#DiscoverWeekly"/>
    <m/>
    <x v="1"/>
    <n v="9.4139757389372969E-2"/>
  </r>
  <r>
    <s v="SP276"/>
    <x v="1"/>
    <d v="2025-03-04T00:00:00"/>
    <x v="0"/>
    <s v="Discover fresh beats on Spotify!"/>
    <n v="2177"/>
    <n v="258"/>
    <n v="292"/>
    <n v="47276"/>
    <n v="51324"/>
    <n v="143"/>
    <s v="#NowPlaying"/>
    <m/>
    <x v="0"/>
    <n v="5.7682545054573146E-2"/>
  </r>
  <r>
    <s v="SP277"/>
    <x v="0"/>
    <d v="2025-02-03T00:00:00"/>
    <x v="1"/>
    <s v="New music just dropped. Hit play!"/>
    <n v="1205"/>
    <n v="486"/>
    <n v="269"/>
    <n v="23341"/>
    <n v="42411"/>
    <n v="184"/>
    <s v="#NowPlaying"/>
    <m/>
    <x v="2"/>
    <n v="8.3972409065592737E-2"/>
  </r>
  <r>
    <s v="SP278"/>
    <x v="0"/>
    <d v="2024-12-02T00:00:00"/>
    <x v="0"/>
    <s v="Top trending tracks updated daily!"/>
    <n v="3194"/>
    <n v="292"/>
    <n v="245"/>
    <n v="56371"/>
    <n v="65597"/>
    <n v="163"/>
    <s v="#SoundtrackOfLife"/>
    <s v="#NowPlaying"/>
    <x v="0"/>
    <n v="6.6186514342481059E-2"/>
  </r>
  <r>
    <s v="SP279"/>
    <x v="1"/>
    <d v="2025-01-19T00:00:00"/>
    <x v="1"/>
    <s v="New music just dropped. Hit play!"/>
    <n v="3507"/>
    <n v="295"/>
    <n v="371"/>
    <n v="20410"/>
    <n v="53965"/>
    <n v="212"/>
    <s v="#SoundtrackOfLife"/>
    <s v="#NowPlaying"/>
    <x v="0"/>
    <n v="0.20445859872611466"/>
  </r>
  <r>
    <s v="SP280"/>
    <x v="1"/>
    <d v="2024-09-28T00:00:00"/>
    <x v="1"/>
    <s v="Wrapped is here! Relive your top tracks ðŸŽ§"/>
    <n v="4471"/>
    <n v="317"/>
    <n v="249"/>
    <n v="44862"/>
    <n v="33365"/>
    <n v="184"/>
    <s v="#DiscoverWeekly"/>
    <s v="#MusicForEveryone"/>
    <x v="0"/>
    <n v="0.1122776514644911"/>
  </r>
  <r>
    <s v="SP281"/>
    <x v="0"/>
    <d v="2024-01-07T00:00:00"/>
    <x v="0"/>
    <s v="Top trending tracks updated daily!"/>
    <n v="4931"/>
    <n v="469"/>
    <n v="193"/>
    <n v="56701"/>
    <n v="69437"/>
    <n v="291"/>
    <s v="#SoundtrackOfLife"/>
    <s v="#NowPlaying"/>
    <x v="0"/>
    <n v="9.8640235621946709E-2"/>
  </r>
  <r>
    <s v="SP282"/>
    <x v="1"/>
    <d v="2024-02-21T00:00:00"/>
    <x v="1"/>
    <s v="Get into the groove with our new drop!"/>
    <n v="2604"/>
    <n v="439"/>
    <n v="148"/>
    <n v="58468"/>
    <n v="39629"/>
    <n v="163"/>
    <s v="#MusicForEveryone"/>
    <s v="#NowPlaying"/>
    <x v="0"/>
    <n v="5.4576862557296296E-2"/>
  </r>
  <r>
    <s v="SP283"/>
    <x v="0"/>
    <d v="2024-08-27T00:00:00"/>
    <x v="0"/>
    <s v="Music that moves youâ€”only on Spotify."/>
    <n v="4197"/>
    <n v="359"/>
    <n v="280"/>
    <n v="56048"/>
    <n v="70930"/>
    <n v="295"/>
    <s v="#DiscoverWeekly"/>
    <m/>
    <x v="1"/>
    <n v="8.628318584070796E-2"/>
  </r>
  <r>
    <s v="SP284"/>
    <x v="0"/>
    <d v="2024-10-24T00:00:00"/>
    <x v="1"/>
    <s v="Top trending tracks updated daily!"/>
    <n v="1914"/>
    <n v="255"/>
    <n v="156"/>
    <n v="27660"/>
    <n v="47776"/>
    <n v="111"/>
    <s v="#NowPlaying"/>
    <m/>
    <x v="2"/>
    <n v="8.4056399132321047E-2"/>
  </r>
  <r>
    <s v="SP285"/>
    <x v="2"/>
    <d v="2025-01-29T00:00:00"/>
    <x v="0"/>
    <s v="New music just dropped. Hit play!"/>
    <n v="1334"/>
    <n v="357"/>
    <n v="257"/>
    <n v="56910"/>
    <n v="70606"/>
    <n v="228"/>
    <s v="#DiscoverWeekly"/>
    <s v="#SpotifyWrapped"/>
    <x v="1"/>
    <n v="3.4229485151994379E-2"/>
  </r>
  <r>
    <s v="SP286"/>
    <x v="0"/>
    <d v="2024-05-01T00:00:00"/>
    <x v="0"/>
    <s v="Get into the groove with our new drop!"/>
    <n v="3359"/>
    <n v="137"/>
    <n v="387"/>
    <n v="33861"/>
    <n v="47257"/>
    <n v="198"/>
    <s v="#DiscoverWeekly"/>
    <m/>
    <x v="1"/>
    <n v="0.11467469950680724"/>
  </r>
  <r>
    <s v="SP287"/>
    <x v="2"/>
    <d v="2024-06-25T00:00:00"/>
    <x v="0"/>
    <s v="Your weekend playlist is waiting."/>
    <n v="2172"/>
    <n v="338"/>
    <n v="70"/>
    <n v="30515"/>
    <n v="57853"/>
    <n v="156"/>
    <s v="#DiscoverWeekly"/>
    <s v="#SpotifyWrapped"/>
    <x v="1"/>
    <n v="8.4548582664263475E-2"/>
  </r>
  <r>
    <s v="SP288"/>
    <x v="1"/>
    <d v="2024-08-09T00:00:00"/>
    <x v="1"/>
    <s v="From pop to podcasts, itâ€™s all here."/>
    <n v="4877"/>
    <n v="442"/>
    <n v="236"/>
    <n v="52673"/>
    <n v="48241"/>
    <n v="114"/>
    <s v="#DiscoverWeekly"/>
    <s v="#MusicForEveryone"/>
    <x v="0"/>
    <n v="0.10546200140489435"/>
  </r>
  <r>
    <s v="SP289"/>
    <x v="0"/>
    <d v="2025-01-21T00:00:00"/>
    <x v="1"/>
    <s v="New music just dropped. Hit play!"/>
    <n v="4918"/>
    <n v="440"/>
    <n v="149"/>
    <n v="53269"/>
    <n v="64370"/>
    <n v="269"/>
    <s v="#NowPlaying"/>
    <m/>
    <x v="2"/>
    <n v="0.10338095327488783"/>
  </r>
  <r>
    <s v="SP290"/>
    <x v="1"/>
    <d v="2024-08-13T00:00:00"/>
    <x v="0"/>
    <s v="Explore the latest podcasts now."/>
    <n v="3418"/>
    <n v="107"/>
    <n v="221"/>
    <n v="23927"/>
    <n v="26182"/>
    <n v="155"/>
    <s v="#SoundtrackOfLife"/>
    <m/>
    <x v="1"/>
    <n v="0.1565595352530614"/>
  </r>
  <r>
    <s v="SP291"/>
    <x v="0"/>
    <d v="2024-06-29T00:00:00"/>
    <x v="0"/>
    <s v="Your weekend playlist is waiting."/>
    <n v="2088"/>
    <n v="490"/>
    <n v="124"/>
    <n v="46544"/>
    <n v="69346"/>
    <n v="178"/>
    <s v="#SoundtrackOfLife"/>
    <s v="#NowPlaying"/>
    <x v="0"/>
    <n v="5.8052595393606049E-2"/>
  </r>
  <r>
    <s v="SP292"/>
    <x v="1"/>
    <d v="2024-11-03T00:00:00"/>
    <x v="1"/>
    <s v="Explore the latest podcasts now."/>
    <n v="3061"/>
    <n v="320"/>
    <n v="76"/>
    <n v="26640"/>
    <n v="24306"/>
    <n v="112"/>
    <s v="#MusicForEveryone"/>
    <s v="#NowPlaying"/>
    <x v="0"/>
    <n v="0.12976726726726726"/>
  </r>
  <r>
    <s v="SP293"/>
    <x v="2"/>
    <d v="2025-04-18T00:00:00"/>
    <x v="2"/>
    <s v="Your weekend playlist is waiting."/>
    <n v="1265"/>
    <n v="230"/>
    <n v="364"/>
    <n v="41312"/>
    <n v="50382"/>
    <n v="106"/>
    <s v="#DiscoverWeekly"/>
    <s v="#SoundtrackOfLife"/>
    <x v="3"/>
    <n v="4.4999031758326875E-2"/>
  </r>
  <r>
    <s v="SP294"/>
    <x v="0"/>
    <d v="2024-12-27T00:00:00"/>
    <x v="0"/>
    <s v="From pop to podcasts, itâ€™s all here."/>
    <n v="1436"/>
    <n v="219"/>
    <n v="229"/>
    <n v="58488"/>
    <n v="24314"/>
    <n v="147"/>
    <s v="#DiscoverWeekly"/>
    <m/>
    <x v="1"/>
    <n v="3.221173574066475E-2"/>
  </r>
  <r>
    <s v="SP295"/>
    <x v="0"/>
    <d v="2025-03-08T00:00:00"/>
    <x v="1"/>
    <s v="Top trending tracks updated daily!"/>
    <n v="2244"/>
    <n v="392"/>
    <n v="231"/>
    <n v="25834"/>
    <n v="50906"/>
    <n v="165"/>
    <s v="#NowPlaying"/>
    <m/>
    <x v="2"/>
    <n v="0.1109777812185492"/>
  </r>
  <r>
    <s v="SP296"/>
    <x v="1"/>
    <d v="2025-03-20T00:00:00"/>
    <x v="1"/>
    <s v="Your weekend playlist is waiting."/>
    <n v="3393"/>
    <n v="104"/>
    <n v="79"/>
    <n v="30025"/>
    <n v="21593"/>
    <n v="165"/>
    <s v="#MusicForEveryone"/>
    <s v="#NowPlaying"/>
    <x v="0"/>
    <n v="0.1191007493755204"/>
  </r>
  <r>
    <s v="SP297"/>
    <x v="1"/>
    <d v="2024-11-16T00:00:00"/>
    <x v="0"/>
    <s v="Explore the latest podcasts now."/>
    <n v="2901"/>
    <n v="108"/>
    <n v="86"/>
    <n v="51777"/>
    <n v="23773"/>
    <n v="160"/>
    <s v="#SoundtrackOfLife"/>
    <m/>
    <x v="1"/>
    <n v="5.9775576027966085E-2"/>
  </r>
  <r>
    <s v="SP298"/>
    <x v="1"/>
    <d v="2025-06-30T00:00:00"/>
    <x v="0"/>
    <s v="Whatâ€™s your vibe today? #SpotifyHits"/>
    <n v="2275"/>
    <n v="285"/>
    <n v="125"/>
    <n v="43970"/>
    <n v="74761"/>
    <n v="83"/>
    <s v="#NowPlaying"/>
    <m/>
    <x v="0"/>
    <n v="6.1064362065044349E-2"/>
  </r>
  <r>
    <s v="SP299"/>
    <x v="1"/>
    <d v="2024-01-12T00:00:00"/>
    <x v="1"/>
    <s v="Wrapped is here! Relive your top tracks ðŸŽ§"/>
    <n v="2227"/>
    <n v="494"/>
    <n v="161"/>
    <n v="51651"/>
    <n v="68074"/>
    <n v="240"/>
    <s v="#DiscoverWeekly"/>
    <s v="#MusicForEveryone"/>
    <x v="0"/>
    <n v="5.5797564422760453E-2"/>
  </r>
  <r>
    <s v="SP300"/>
    <x v="0"/>
    <d v="2024-02-07T00:00:00"/>
    <x v="0"/>
    <s v="Music that moves youâ€”only on Spotify."/>
    <n v="1883"/>
    <n v="432"/>
    <n v="397"/>
    <n v="28759"/>
    <n v="18691"/>
    <n v="270"/>
    <s v="#SoundtrackOfLife"/>
    <s v="#NowPlaying"/>
    <x v="0"/>
    <n v="9.4300914496331587E-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x v="0"/>
    <n v="0.13200509890939993"/>
    <n v="133"/>
  </r>
  <r>
    <x v="1"/>
    <n v="8.7095334546328396E-2"/>
    <n v="273"/>
  </r>
  <r>
    <x v="2"/>
    <n v="7.0477352576105018E-2"/>
    <n v="121"/>
  </r>
  <r>
    <x v="0"/>
    <n v="0.1215714092690177"/>
    <n v="272"/>
  </r>
  <r>
    <x v="1"/>
    <n v="0.1314700217204213"/>
    <n v="200"/>
  </r>
  <r>
    <x v="1"/>
    <n v="7.4828079253761837E-2"/>
    <n v="149"/>
  </r>
  <r>
    <x v="0"/>
    <n v="0.26064752360763155"/>
    <n v="212"/>
  </r>
  <r>
    <x v="1"/>
    <n v="8.7100435029317191E-2"/>
    <n v="120"/>
  </r>
  <r>
    <x v="3"/>
    <n v="8.3943337400027115E-2"/>
    <n v="171"/>
  </r>
  <r>
    <x v="3"/>
    <n v="0.12997310581470833"/>
    <n v="284"/>
  </r>
  <r>
    <x v="0"/>
    <n v="8.4525482181632389E-2"/>
    <n v="88"/>
  </r>
  <r>
    <x v="0"/>
    <n v="5.4191936281527367E-2"/>
    <n v="86"/>
  </r>
  <r>
    <x v="2"/>
    <n v="7.4550393727863554E-2"/>
    <n v="213"/>
  </r>
  <r>
    <x v="3"/>
    <n v="8.5063484278785892E-2"/>
    <n v="264"/>
  </r>
  <r>
    <x v="3"/>
    <n v="0.11274405206444041"/>
    <n v="179"/>
  </r>
  <r>
    <x v="2"/>
    <n v="9.3810966751068869E-2"/>
    <n v="172"/>
  </r>
  <r>
    <x v="3"/>
    <n v="4.7214969538729328E-2"/>
    <n v="83"/>
  </r>
  <r>
    <x v="3"/>
    <n v="0.1408079806679472"/>
    <n v="235"/>
  </r>
  <r>
    <x v="1"/>
    <n v="6.4255640042732362E-2"/>
    <n v="95"/>
  </r>
  <r>
    <x v="1"/>
    <n v="0.15347655981879332"/>
    <n v="90"/>
  </r>
  <r>
    <x v="3"/>
    <n v="4.3543867212761371E-2"/>
    <n v="230"/>
  </r>
  <r>
    <x v="0"/>
    <n v="0.19548583208133888"/>
    <n v="84"/>
  </r>
  <r>
    <x v="1"/>
    <n v="8.0047619047619048E-2"/>
    <n v="103"/>
  </r>
  <r>
    <x v="0"/>
    <n v="0.11026748397882419"/>
    <n v="174"/>
  </r>
  <r>
    <x v="1"/>
    <n v="8.1036535115831879E-2"/>
    <n v="232"/>
  </r>
  <r>
    <x v="1"/>
    <n v="5.173411449857148E-2"/>
    <n v="147"/>
  </r>
  <r>
    <x v="0"/>
    <n v="0.11363049929041415"/>
    <n v="268"/>
  </r>
  <r>
    <x v="1"/>
    <n v="8.205676046117874E-2"/>
    <n v="206"/>
  </r>
  <r>
    <x v="2"/>
    <n v="6.9526910553533799E-2"/>
    <n v="202"/>
  </r>
  <r>
    <x v="3"/>
    <n v="0.10399399962497656"/>
    <n v="197"/>
  </r>
  <r>
    <x v="0"/>
    <n v="8.0484684812735408E-2"/>
    <n v="279"/>
  </r>
  <r>
    <x v="0"/>
    <n v="7.519889311656866E-2"/>
    <n v="138"/>
  </r>
  <r>
    <x v="1"/>
    <n v="0.16177247444144061"/>
    <n v="289"/>
  </r>
  <r>
    <x v="0"/>
    <n v="4.4299315445747112E-2"/>
    <n v="287"/>
  </r>
  <r>
    <x v="2"/>
    <n v="9.7668038408779148E-2"/>
    <n v="265"/>
  </r>
  <r>
    <x v="1"/>
    <n v="6.3600055728416843E-2"/>
    <n v="80"/>
  </r>
  <r>
    <x v="2"/>
    <n v="0.10772626931567329"/>
    <n v="80"/>
  </r>
  <r>
    <x v="3"/>
    <n v="3.9122543637545096E-2"/>
    <n v="195"/>
  </r>
  <r>
    <x v="1"/>
    <n v="3.9913595142645857E-2"/>
    <n v="133"/>
  </r>
  <r>
    <x v="3"/>
    <n v="0.14436927106067218"/>
    <n v="125"/>
  </r>
  <r>
    <x v="0"/>
    <n v="0.10863928268508422"/>
    <n v="275"/>
  </r>
  <r>
    <x v="3"/>
    <n v="9.379528682585335E-2"/>
    <n v="211"/>
  </r>
  <r>
    <x v="0"/>
    <n v="0.11750707750379519"/>
    <n v="154"/>
  </r>
  <r>
    <x v="1"/>
    <n v="3.9937155714174881E-2"/>
    <n v="290"/>
  </r>
  <r>
    <x v="1"/>
    <n v="0.11613367267898639"/>
    <n v="201"/>
  </r>
  <r>
    <x v="1"/>
    <n v="0.14600091693410577"/>
    <n v="92"/>
  </r>
  <r>
    <x v="1"/>
    <n v="9.8072192379135503E-2"/>
    <n v="120"/>
  </r>
  <r>
    <x v="3"/>
    <n v="0.15735977431131762"/>
    <n v="213"/>
  </r>
  <r>
    <x v="1"/>
    <n v="0.1087862256289851"/>
    <n v="191"/>
  </r>
  <r>
    <x v="3"/>
    <n v="0.20241060666934513"/>
    <n v="148"/>
  </r>
  <r>
    <x v="1"/>
    <n v="0.10249760265016128"/>
    <n v="215"/>
  </r>
  <r>
    <x v="1"/>
    <n v="0.15227535227535227"/>
    <n v="261"/>
  </r>
  <r>
    <x v="2"/>
    <n v="5.8723551855705859E-2"/>
    <n v="87"/>
  </r>
  <r>
    <x v="1"/>
    <n v="9.5101162290142052E-2"/>
    <n v="239"/>
  </r>
  <r>
    <x v="3"/>
    <n v="4.781732706514439E-2"/>
    <n v="190"/>
  </r>
  <r>
    <x v="3"/>
    <n v="0.13885094758408742"/>
    <n v="259"/>
  </r>
  <r>
    <x v="1"/>
    <n v="0.10600966926007749"/>
    <n v="291"/>
  </r>
  <r>
    <x v="1"/>
    <n v="8.8283323127168814E-2"/>
    <n v="177"/>
  </r>
  <r>
    <x v="1"/>
    <n v="2.50275284149232E-2"/>
    <n v="220"/>
  </r>
  <r>
    <x v="1"/>
    <n v="0.11124541239039185"/>
    <n v="116"/>
  </r>
  <r>
    <x v="1"/>
    <n v="8.8087436599488311E-2"/>
    <n v="171"/>
  </r>
  <r>
    <x v="2"/>
    <n v="4.3619068768968837E-2"/>
    <n v="182"/>
  </r>
  <r>
    <x v="0"/>
    <n v="3.6351938233874857E-2"/>
    <n v="237"/>
  </r>
  <r>
    <x v="2"/>
    <n v="9.2093661212893113E-2"/>
    <n v="205"/>
  </r>
  <r>
    <x v="1"/>
    <n v="3.5777344113000653E-2"/>
    <n v="109"/>
  </r>
  <r>
    <x v="0"/>
    <n v="9.0267383317458164E-2"/>
    <n v="227"/>
  </r>
  <r>
    <x v="1"/>
    <n v="0.17658969920637513"/>
    <n v="267"/>
  </r>
  <r>
    <x v="0"/>
    <n v="0.18517978620019437"/>
    <n v="221"/>
  </r>
  <r>
    <x v="1"/>
    <n v="4.6406515707509172E-2"/>
    <n v="227"/>
  </r>
  <r>
    <x v="3"/>
    <n v="0.10657378184897237"/>
    <n v="107"/>
  </r>
  <r>
    <x v="0"/>
    <n v="0.1607525766064882"/>
    <n v="135"/>
  </r>
  <r>
    <x v="1"/>
    <n v="8.1549489395129612E-2"/>
    <n v="193"/>
  </r>
  <r>
    <x v="1"/>
    <n v="5.2042268944371438E-2"/>
    <n v="270"/>
  </r>
  <r>
    <x v="1"/>
    <n v="4.0418432004799221E-2"/>
    <n v="88"/>
  </r>
  <r>
    <x v="0"/>
    <n v="5.1660428636136076E-2"/>
    <n v="101"/>
  </r>
  <r>
    <x v="1"/>
    <n v="7.611534979956032E-2"/>
    <n v="207"/>
  </r>
  <r>
    <x v="3"/>
    <n v="9.6080290300434801E-2"/>
    <n v="88"/>
  </r>
  <r>
    <x v="2"/>
    <n v="0.13476527900797167"/>
    <n v="109"/>
  </r>
  <r>
    <x v="1"/>
    <n v="0.14335162515829464"/>
    <n v="128"/>
  </r>
  <r>
    <x v="0"/>
    <n v="7.3021390374331557E-2"/>
    <n v="157"/>
  </r>
  <r>
    <x v="0"/>
    <n v="8.8232696960599044E-2"/>
    <n v="184"/>
  </r>
  <r>
    <x v="1"/>
    <n v="5.9312714776632303E-2"/>
    <n v="182"/>
  </r>
  <r>
    <x v="0"/>
    <n v="0.1471166637746544"/>
    <n v="180"/>
  </r>
  <r>
    <x v="3"/>
    <n v="0.16283364109451065"/>
    <n v="122"/>
  </r>
  <r>
    <x v="0"/>
    <n v="6.0050273034584378E-2"/>
    <n v="264"/>
  </r>
  <r>
    <x v="0"/>
    <n v="4.4438295517432211E-2"/>
    <n v="169"/>
  </r>
  <r>
    <x v="0"/>
    <n v="6.1158416768035934E-2"/>
    <n v="160"/>
  </r>
  <r>
    <x v="0"/>
    <n v="0.18086628511966701"/>
    <n v="298"/>
  </r>
  <r>
    <x v="0"/>
    <n v="9.8770390509144837E-2"/>
    <n v="120"/>
  </r>
  <r>
    <x v="2"/>
    <n v="0.17642537414658407"/>
    <n v="160"/>
  </r>
  <r>
    <x v="0"/>
    <n v="7.8512996756861422E-2"/>
    <n v="111"/>
  </r>
  <r>
    <x v="1"/>
    <n v="7.974671020085089E-2"/>
    <n v="82"/>
  </r>
  <r>
    <x v="1"/>
    <n v="6.3999063999063993E-2"/>
    <n v="169"/>
  </r>
  <r>
    <x v="0"/>
    <n v="0.1439786294499264"/>
    <n v="98"/>
  </r>
  <r>
    <x v="3"/>
    <n v="0.14130742382794076"/>
    <n v="241"/>
  </r>
  <r>
    <x v="0"/>
    <n v="0.13528464682326713"/>
    <n v="114"/>
  </r>
  <r>
    <x v="1"/>
    <n v="0.10550008380623997"/>
    <n v="191"/>
  </r>
  <r>
    <x v="1"/>
    <n v="9.4690354648038683E-2"/>
    <n v="157"/>
  </r>
  <r>
    <x v="3"/>
    <n v="6.934441139598338E-2"/>
    <n v="258"/>
  </r>
  <r>
    <x v="1"/>
    <n v="0.10077583818232197"/>
    <n v="181"/>
  </r>
  <r>
    <x v="3"/>
    <n v="8.2866791077934779E-2"/>
    <n v="218"/>
  </r>
  <r>
    <x v="3"/>
    <n v="0.14485195154777927"/>
    <n v="282"/>
  </r>
  <r>
    <x v="0"/>
    <n v="6.6614370881706936E-2"/>
    <n v="263"/>
  </r>
  <r>
    <x v="1"/>
    <n v="8.8705674736667947E-2"/>
    <n v="132"/>
  </r>
  <r>
    <x v="3"/>
    <n v="6.2084853138798232E-2"/>
    <n v="133"/>
  </r>
  <r>
    <x v="0"/>
    <n v="0.23193025217961938"/>
    <n v="91"/>
  </r>
  <r>
    <x v="0"/>
    <n v="8.6598679355949518E-2"/>
    <n v="102"/>
  </r>
  <r>
    <x v="1"/>
    <n v="0.10949965468790931"/>
    <n v="118"/>
  </r>
  <r>
    <x v="0"/>
    <n v="0.13838335084182732"/>
    <n v="164"/>
  </r>
  <r>
    <x v="1"/>
    <n v="0.16033389770445328"/>
    <n v="131"/>
  </r>
  <r>
    <x v="1"/>
    <n v="0.16641897515158721"/>
    <n v="194"/>
  </r>
  <r>
    <x v="0"/>
    <n v="5.2993862995521647E-2"/>
    <n v="170"/>
  </r>
  <r>
    <x v="0"/>
    <n v="3.9674653122814763E-2"/>
    <n v="282"/>
  </r>
  <r>
    <x v="3"/>
    <n v="5.1173769923769923E-2"/>
    <n v="141"/>
  </r>
  <r>
    <x v="1"/>
    <n v="8.6978468608031198E-2"/>
    <n v="251"/>
  </r>
  <r>
    <x v="3"/>
    <n v="4.9881554861634543E-2"/>
    <n v="245"/>
  </r>
  <r>
    <x v="3"/>
    <n v="3.4977365592309385E-2"/>
    <n v="211"/>
  </r>
  <r>
    <x v="1"/>
    <n v="4.1192869195216787E-2"/>
    <n v="195"/>
  </r>
  <r>
    <x v="2"/>
    <n v="5.7963823356939871E-2"/>
    <n v="176"/>
  </r>
  <r>
    <x v="1"/>
    <n v="4.7099090384865788E-2"/>
    <n v="277"/>
  </r>
  <r>
    <x v="3"/>
    <n v="9.3980281287635997E-2"/>
    <n v="200"/>
  </r>
  <r>
    <x v="1"/>
    <n v="3.5847516903707161E-2"/>
    <n v="230"/>
  </r>
  <r>
    <x v="1"/>
    <n v="5.8764788517847777E-2"/>
    <n v="236"/>
  </r>
  <r>
    <x v="0"/>
    <n v="8.5455879813503707E-2"/>
    <n v="299"/>
  </r>
  <r>
    <x v="3"/>
    <n v="0.11041472996071611"/>
    <n v="173"/>
  </r>
  <r>
    <x v="2"/>
    <n v="7.064131830503638E-2"/>
    <n v="113"/>
  </r>
  <r>
    <x v="0"/>
    <n v="3.4738711788351875E-2"/>
    <n v="145"/>
  </r>
  <r>
    <x v="0"/>
    <n v="0.10461100954702417"/>
    <n v="176"/>
  </r>
  <r>
    <x v="1"/>
    <n v="7.9993453221219743E-2"/>
    <n v="224"/>
  </r>
  <r>
    <x v="1"/>
    <n v="2.811915575741384E-2"/>
    <n v="205"/>
  </r>
  <r>
    <x v="0"/>
    <n v="5.4592988710635768E-2"/>
    <n v="205"/>
  </r>
  <r>
    <x v="3"/>
    <n v="9.2466575934672959E-2"/>
    <n v="148"/>
  </r>
  <r>
    <x v="1"/>
    <n v="4.7508511296812134E-2"/>
    <n v="139"/>
  </r>
  <r>
    <x v="3"/>
    <n v="7.4861184558434685E-2"/>
    <n v="196"/>
  </r>
  <r>
    <x v="2"/>
    <n v="9.6834214933149046E-2"/>
    <n v="127"/>
  </r>
  <r>
    <x v="3"/>
    <n v="0.18723441538528934"/>
    <n v="199"/>
  </r>
  <r>
    <x v="0"/>
    <n v="0.16610252187966945"/>
    <n v="296"/>
  </r>
  <r>
    <x v="1"/>
    <n v="2.7809319322005904E-2"/>
    <n v="236"/>
  </r>
  <r>
    <x v="3"/>
    <n v="0.11645414595490239"/>
    <n v="289"/>
  </r>
  <r>
    <x v="2"/>
    <n v="8.702596166915863E-2"/>
    <n v="236"/>
  </r>
  <r>
    <x v="1"/>
    <n v="7.0594928198320889E-2"/>
    <n v="273"/>
  </r>
  <r>
    <x v="3"/>
    <n v="0.11731037798484398"/>
    <n v="92"/>
  </r>
  <r>
    <x v="1"/>
    <n v="9.2634518149573616E-2"/>
    <n v="105"/>
  </r>
  <r>
    <x v="0"/>
    <n v="6.0370736430199488E-2"/>
    <n v="82"/>
  </r>
  <r>
    <x v="2"/>
    <n v="0.11477740733477153"/>
    <n v="277"/>
  </r>
  <r>
    <x v="1"/>
    <n v="8.1504318676747664E-2"/>
    <n v="245"/>
  </r>
  <r>
    <x v="2"/>
    <n v="7.1988159338556151E-2"/>
    <n v="208"/>
  </r>
  <r>
    <x v="1"/>
    <n v="0.10708707332819627"/>
    <n v="270"/>
  </r>
  <r>
    <x v="0"/>
    <n v="8.1341895638137346E-2"/>
    <n v="286"/>
  </r>
  <r>
    <x v="2"/>
    <n v="9.4928992718046723E-2"/>
    <n v="88"/>
  </r>
  <r>
    <x v="3"/>
    <n v="6.9360859297630834E-2"/>
    <n v="219"/>
  </r>
  <r>
    <x v="1"/>
    <n v="9.2425876010781671E-2"/>
    <n v="272"/>
  </r>
  <r>
    <x v="1"/>
    <n v="8.2469701307376658E-2"/>
    <n v="87"/>
  </r>
  <r>
    <x v="1"/>
    <n v="5.9585542168674697E-2"/>
    <n v="92"/>
  </r>
  <r>
    <x v="0"/>
    <n v="0.10400389436534015"/>
    <n v="236"/>
  </r>
  <r>
    <x v="1"/>
    <n v="3.8832755240536872E-2"/>
    <n v="230"/>
  </r>
  <r>
    <x v="1"/>
    <n v="0.19390491670052823"/>
    <n v="158"/>
  </r>
  <r>
    <x v="1"/>
    <n v="0.16116683482699271"/>
    <n v="216"/>
  </r>
  <r>
    <x v="3"/>
    <n v="8.3133241487896081E-2"/>
    <n v="219"/>
  </r>
  <r>
    <x v="1"/>
    <n v="4.9951325040562468E-2"/>
    <n v="293"/>
  </r>
  <r>
    <x v="1"/>
    <n v="0.1552751489660007"/>
    <n v="275"/>
  </r>
  <r>
    <x v="0"/>
    <n v="0.11258173796580792"/>
    <n v="100"/>
  </r>
  <r>
    <x v="1"/>
    <n v="0.11046681895390383"/>
    <n v="256"/>
  </r>
  <r>
    <x v="3"/>
    <n v="3.5523669554455448E-2"/>
    <n v="168"/>
  </r>
  <r>
    <x v="3"/>
    <n v="0.10652531529884847"/>
    <n v="258"/>
  </r>
  <r>
    <x v="1"/>
    <n v="9.2244407295403744E-2"/>
    <n v="288"/>
  </r>
  <r>
    <x v="1"/>
    <n v="0.1612578785034196"/>
    <n v="298"/>
  </r>
  <r>
    <x v="0"/>
    <n v="0.10143081434961637"/>
    <n v="121"/>
  </r>
  <r>
    <x v="1"/>
    <n v="8.4528099363643333E-2"/>
    <n v="175"/>
  </r>
  <r>
    <x v="0"/>
    <n v="0.15513030574705536"/>
    <n v="259"/>
  </r>
  <r>
    <x v="3"/>
    <n v="9.8031707130274953E-2"/>
    <n v="135"/>
  </r>
  <r>
    <x v="1"/>
    <n v="0.16447098339242397"/>
    <n v="278"/>
  </r>
  <r>
    <x v="1"/>
    <n v="0.10077178019329269"/>
    <n v="230"/>
  </r>
  <r>
    <x v="1"/>
    <n v="0.10256458679558846"/>
    <n v="269"/>
  </r>
  <r>
    <x v="1"/>
    <n v="5.6980732739746021E-2"/>
    <n v="98"/>
  </r>
  <r>
    <x v="0"/>
    <n v="8.4227733207149463E-2"/>
    <n v="150"/>
  </r>
  <r>
    <x v="0"/>
    <n v="0.1728980597474592"/>
    <n v="178"/>
  </r>
  <r>
    <x v="3"/>
    <n v="7.3899528727564417E-2"/>
    <n v="161"/>
  </r>
  <r>
    <x v="0"/>
    <n v="7.090200025160398E-2"/>
    <n v="208"/>
  </r>
  <r>
    <x v="2"/>
    <n v="7.7731488624869283E-2"/>
    <n v="85"/>
  </r>
  <r>
    <x v="0"/>
    <n v="4.2982250109049422E-2"/>
    <n v="281"/>
  </r>
  <r>
    <x v="0"/>
    <n v="7.2213401079707848E-2"/>
    <n v="112"/>
  </r>
  <r>
    <x v="0"/>
    <n v="0.16743869209809265"/>
    <n v="286"/>
  </r>
  <r>
    <x v="2"/>
    <n v="6.2648374965860634E-2"/>
    <n v="287"/>
  </r>
  <r>
    <x v="1"/>
    <n v="8.5966298051606105E-2"/>
    <n v="219"/>
  </r>
  <r>
    <x v="2"/>
    <n v="0.22967524699836073"/>
    <n v="197"/>
  </r>
  <r>
    <x v="1"/>
    <n v="0.12920396165457337"/>
    <n v="204"/>
  </r>
  <r>
    <x v="1"/>
    <n v="9.8222596516111871E-2"/>
    <n v="168"/>
  </r>
  <r>
    <x v="1"/>
    <n v="0.11349824183418362"/>
    <n v="216"/>
  </r>
  <r>
    <x v="0"/>
    <n v="9.4251731312692155E-2"/>
    <n v="241"/>
  </r>
  <r>
    <x v="1"/>
    <n v="0.10173025732031943"/>
    <n v="240"/>
  </r>
  <r>
    <x v="1"/>
    <n v="8.9237069349238848E-2"/>
    <n v="173"/>
  </r>
  <r>
    <x v="1"/>
    <n v="6.5015829941203071E-2"/>
    <n v="232"/>
  </r>
  <r>
    <x v="2"/>
    <n v="5.6436966727204191E-2"/>
    <n v="269"/>
  </r>
  <r>
    <x v="1"/>
    <n v="0.10713930842607314"/>
    <n v="213"/>
  </r>
  <r>
    <x v="0"/>
    <n v="5.1833640647408315E-2"/>
    <n v="272"/>
  </r>
  <r>
    <x v="1"/>
    <n v="3.5821698002251455E-2"/>
    <n v="239"/>
  </r>
  <r>
    <x v="0"/>
    <n v="3.5034029141734799E-2"/>
    <n v="222"/>
  </r>
  <r>
    <x v="0"/>
    <n v="0.13946227759085811"/>
    <n v="276"/>
  </r>
  <r>
    <x v="3"/>
    <n v="4.5247823769763724E-2"/>
    <n v="196"/>
  </r>
  <r>
    <x v="2"/>
    <n v="6.2974139146620034E-2"/>
    <n v="114"/>
  </r>
  <r>
    <x v="0"/>
    <n v="0.10784235029699792"/>
    <n v="157"/>
  </r>
  <r>
    <x v="1"/>
    <n v="8.2690258629040073E-2"/>
    <n v="111"/>
  </r>
  <r>
    <x v="3"/>
    <n v="9.7836889180216949E-2"/>
    <n v="232"/>
  </r>
  <r>
    <x v="0"/>
    <n v="7.7428927315357568E-2"/>
    <n v="117"/>
  </r>
  <r>
    <x v="1"/>
    <n v="7.9782521843353188E-2"/>
    <n v="222"/>
  </r>
  <r>
    <x v="0"/>
    <n v="7.1022341272152026E-2"/>
    <n v="155"/>
  </r>
  <r>
    <x v="0"/>
    <n v="3.9319108127547353E-2"/>
    <n v="239"/>
  </r>
  <r>
    <x v="1"/>
    <n v="7.7181741758116915E-2"/>
    <n v="118"/>
  </r>
  <r>
    <x v="0"/>
    <n v="3.4110398272247981E-2"/>
    <n v="275"/>
  </r>
  <r>
    <x v="1"/>
    <n v="3.1623578076525334E-2"/>
    <n v="232"/>
  </r>
  <r>
    <x v="1"/>
    <n v="4.0153279184466734E-2"/>
    <n v="296"/>
  </r>
  <r>
    <x v="3"/>
    <n v="0.17995832544042431"/>
    <n v="147"/>
  </r>
  <r>
    <x v="0"/>
    <n v="0.12555218709398008"/>
    <n v="293"/>
  </r>
  <r>
    <x v="1"/>
    <n v="8.2744836775483013E-2"/>
    <n v="186"/>
  </r>
  <r>
    <x v="0"/>
    <n v="5.2041730205988429E-2"/>
    <n v="174"/>
  </r>
  <r>
    <x v="0"/>
    <n v="9.4450189589796618E-2"/>
    <n v="133"/>
  </r>
  <r>
    <x v="1"/>
    <n v="0.12409349336702463"/>
    <n v="265"/>
  </r>
  <r>
    <x v="0"/>
    <n v="4.5610431884675749E-2"/>
    <n v="176"/>
  </r>
  <r>
    <x v="1"/>
    <n v="8.0371103929948923E-2"/>
    <n v="255"/>
  </r>
  <r>
    <x v="2"/>
    <n v="0.1271002400274317"/>
    <n v="282"/>
  </r>
  <r>
    <x v="3"/>
    <n v="8.6602037169406718E-2"/>
    <n v="178"/>
  </r>
  <r>
    <x v="0"/>
    <n v="2.9336922849977874E-2"/>
    <n v="271"/>
  </r>
  <r>
    <x v="3"/>
    <n v="0.11126822801590809"/>
    <n v="103"/>
  </r>
  <r>
    <x v="1"/>
    <n v="5.2566815966924252E-2"/>
    <n v="197"/>
  </r>
  <r>
    <x v="2"/>
    <n v="5.2513742764570971E-2"/>
    <n v="265"/>
  </r>
  <r>
    <x v="1"/>
    <n v="0.12406981463942633"/>
    <n v="294"/>
  </r>
  <r>
    <x v="1"/>
    <n v="3.1839004091338254E-2"/>
    <n v="101"/>
  </r>
  <r>
    <x v="1"/>
    <n v="9.191926295801392E-2"/>
    <n v="257"/>
  </r>
  <r>
    <x v="1"/>
    <n v="4.9646286003031836E-2"/>
    <n v="246"/>
  </r>
  <r>
    <x v="0"/>
    <n v="6.76784936509532E-2"/>
    <n v="213"/>
  </r>
  <r>
    <x v="1"/>
    <n v="0.10985069273191947"/>
    <n v="290"/>
  </r>
  <r>
    <x v="3"/>
    <n v="8.0741841282852611E-2"/>
    <n v="277"/>
  </r>
  <r>
    <x v="3"/>
    <n v="0.16790703227603773"/>
    <n v="263"/>
  </r>
  <r>
    <x v="1"/>
    <n v="6.4655069273288512E-2"/>
    <n v="172"/>
  </r>
  <r>
    <x v="1"/>
    <n v="8.1666436749896543E-2"/>
    <n v="145"/>
  </r>
  <r>
    <x v="1"/>
    <n v="0.13077197816215114"/>
    <n v="297"/>
  </r>
  <r>
    <x v="0"/>
    <n v="5.3094209744904843E-2"/>
    <n v="214"/>
  </r>
  <r>
    <x v="2"/>
    <n v="0.17088145896656534"/>
    <n v="160"/>
  </r>
  <r>
    <x v="1"/>
    <n v="0.10547128720437092"/>
    <n v="277"/>
  </r>
  <r>
    <x v="3"/>
    <n v="4.819683813738912E-2"/>
    <n v="104"/>
  </r>
  <r>
    <x v="1"/>
    <n v="0.13404136389044158"/>
    <n v="133"/>
  </r>
  <r>
    <x v="1"/>
    <n v="9.8193807339449546E-2"/>
    <n v="255"/>
  </r>
  <r>
    <x v="1"/>
    <n v="8.6517714206166912E-2"/>
    <n v="159"/>
  </r>
  <r>
    <x v="2"/>
    <n v="9.2712236723090841E-2"/>
    <n v="104"/>
  </r>
  <r>
    <x v="0"/>
    <n v="0.16477245248343569"/>
    <n v="130"/>
  </r>
  <r>
    <x v="1"/>
    <n v="7.1354340971940891E-2"/>
    <n v="163"/>
  </r>
  <r>
    <x v="1"/>
    <n v="0.19261223173659131"/>
    <n v="225"/>
  </r>
  <r>
    <x v="1"/>
    <n v="0.14674444862627023"/>
    <n v="96"/>
  </r>
  <r>
    <x v="3"/>
    <n v="0.17799483100057059"/>
    <n v="145"/>
  </r>
  <r>
    <x v="0"/>
    <n v="4.4258807658382193E-2"/>
    <n v="262"/>
  </r>
  <r>
    <x v="1"/>
    <n v="0.10762898272970794"/>
    <n v="248"/>
  </r>
  <r>
    <x v="1"/>
    <n v="5.0121212121212122E-2"/>
    <n v="160"/>
  </r>
  <r>
    <x v="3"/>
    <n v="0.15451192239551567"/>
    <n v="262"/>
  </r>
  <r>
    <x v="1"/>
    <n v="5.7503193495407452E-2"/>
    <n v="90"/>
  </r>
  <r>
    <x v="2"/>
    <n v="5.2312660271630736E-2"/>
    <n v="146"/>
  </r>
  <r>
    <x v="1"/>
    <n v="8.5608773500447627E-2"/>
    <n v="272"/>
  </r>
  <r>
    <x v="1"/>
    <n v="3.3729709324273313E-2"/>
    <n v="286"/>
  </r>
  <r>
    <x v="0"/>
    <n v="7.5077784691972627E-2"/>
    <n v="138"/>
  </r>
  <r>
    <x v="2"/>
    <n v="8.3423643616408028E-2"/>
    <n v="128"/>
  </r>
  <r>
    <x v="0"/>
    <n v="6.8477000386548123E-2"/>
    <n v="190"/>
  </r>
  <r>
    <x v="2"/>
    <n v="0.12190780876853062"/>
    <n v="174"/>
  </r>
  <r>
    <x v="1"/>
    <n v="5.4473577117609438E-2"/>
    <n v="173"/>
  </r>
  <r>
    <x v="1"/>
    <n v="5.4859907104176028E-2"/>
    <n v="185"/>
  </r>
  <r>
    <x v="1"/>
    <n v="9.0752980172121162E-2"/>
    <n v="221"/>
  </r>
  <r>
    <x v="3"/>
    <n v="0.11695224773672146"/>
    <n v="246"/>
  </r>
  <r>
    <x v="1"/>
    <n v="6.1279893894806647E-2"/>
    <n v="111"/>
  </r>
  <r>
    <x v="1"/>
    <n v="7.3202671439172376E-2"/>
    <n v="85"/>
  </r>
  <r>
    <x v="1"/>
    <n v="9.2893873181347508E-2"/>
    <n v="205"/>
  </r>
  <r>
    <x v="1"/>
    <n v="3.3603177027646251E-2"/>
    <n v="265"/>
  </r>
  <r>
    <x v="1"/>
    <n v="0.14843585975225698"/>
    <n v="210"/>
  </r>
  <r>
    <x v="0"/>
    <n v="5.1861351697967357E-2"/>
    <n v="126"/>
  </r>
  <r>
    <x v="3"/>
    <n v="6.6160796354604659E-2"/>
    <n v="276"/>
  </r>
  <r>
    <x v="1"/>
    <n v="5.4638246772740921E-2"/>
    <n v="195"/>
  </r>
  <r>
    <x v="1"/>
    <n v="9.4139757389372969E-2"/>
    <n v="234"/>
  </r>
  <r>
    <x v="3"/>
    <n v="5.7682545054573146E-2"/>
    <n v="143"/>
  </r>
  <r>
    <x v="3"/>
    <n v="8.3972409065592737E-2"/>
    <n v="184"/>
  </r>
  <r>
    <x v="0"/>
    <n v="6.6186514342481059E-2"/>
    <n v="163"/>
  </r>
  <r>
    <x v="0"/>
    <n v="0.20445859872611466"/>
    <n v="212"/>
  </r>
  <r>
    <x v="1"/>
    <n v="0.1122776514644911"/>
    <n v="184"/>
  </r>
  <r>
    <x v="0"/>
    <n v="9.8640235621946709E-2"/>
    <n v="291"/>
  </r>
  <r>
    <x v="2"/>
    <n v="5.4576862557296296E-2"/>
    <n v="163"/>
  </r>
  <r>
    <x v="1"/>
    <n v="8.628318584070796E-2"/>
    <n v="295"/>
  </r>
  <r>
    <x v="3"/>
    <n v="8.4056399132321047E-2"/>
    <n v="111"/>
  </r>
  <r>
    <x v="1"/>
    <n v="3.4229485151994379E-2"/>
    <n v="228"/>
  </r>
  <r>
    <x v="1"/>
    <n v="0.11467469950680724"/>
    <n v="198"/>
  </r>
  <r>
    <x v="1"/>
    <n v="8.4548582664263475E-2"/>
    <n v="156"/>
  </r>
  <r>
    <x v="1"/>
    <n v="0.10546200140489435"/>
    <n v="114"/>
  </r>
  <r>
    <x v="3"/>
    <n v="0.10338095327488783"/>
    <n v="269"/>
  </r>
  <r>
    <x v="0"/>
    <n v="0.1565595352530614"/>
    <n v="155"/>
  </r>
  <r>
    <x v="0"/>
    <n v="5.8052595393606049E-2"/>
    <n v="178"/>
  </r>
  <r>
    <x v="2"/>
    <n v="0.12976726726726726"/>
    <n v="112"/>
  </r>
  <r>
    <x v="1"/>
    <n v="4.4999031758326875E-2"/>
    <n v="106"/>
  </r>
  <r>
    <x v="1"/>
    <n v="3.221173574066475E-2"/>
    <n v="147"/>
  </r>
  <r>
    <x v="3"/>
    <n v="0.1109777812185492"/>
    <n v="165"/>
  </r>
  <r>
    <x v="2"/>
    <n v="0.1191007493755204"/>
    <n v="165"/>
  </r>
  <r>
    <x v="0"/>
    <n v="5.9775576027966085E-2"/>
    <n v="160"/>
  </r>
  <r>
    <x v="3"/>
    <n v="6.1064362065044349E-2"/>
    <n v="83"/>
  </r>
  <r>
    <x v="1"/>
    <n v="5.5797564422760453E-2"/>
    <n v="240"/>
  </r>
  <r>
    <x v="0"/>
    <n v="9.4300914496331587E-2"/>
    <n v="270"/>
  </r>
  <r>
    <x v="3"/>
    <n v="0.13200509890939993"/>
    <n v="133"/>
  </r>
  <r>
    <x v="4"/>
    <n v="8.7095334546328396E-2"/>
    <n v="273"/>
  </r>
  <r>
    <x v="3"/>
    <n v="7.0477352576105018E-2"/>
    <n v="121"/>
  </r>
  <r>
    <x v="3"/>
    <n v="0.1215714092690177"/>
    <n v="272"/>
  </r>
  <r>
    <x v="5"/>
    <n v="0.1314700217204213"/>
    <n v="200"/>
  </r>
  <r>
    <x v="5"/>
    <n v="7.4828079253761837E-2"/>
    <n v="149"/>
  </r>
  <r>
    <x v="3"/>
    <n v="0.26064752360763155"/>
    <n v="212"/>
  </r>
  <r>
    <x v="2"/>
    <n v="8.7100435029317191E-2"/>
    <n v="120"/>
  </r>
  <r>
    <x v="4"/>
    <n v="8.3943337400027115E-2"/>
    <n v="171"/>
  </r>
  <r>
    <x v="4"/>
    <n v="0.12997310581470833"/>
    <n v="284"/>
  </r>
  <r>
    <x v="4"/>
    <n v="8.4525482181632389E-2"/>
    <n v="88"/>
  </r>
  <r>
    <x v="3"/>
    <n v="5.4191936281527367E-2"/>
    <n v="86"/>
  </r>
  <r>
    <x v="3"/>
    <n v="7.4550393727863554E-2"/>
    <n v="213"/>
  </r>
  <r>
    <x v="4"/>
    <n v="8.5063484278785892E-2"/>
    <n v="264"/>
  </r>
  <r>
    <x v="4"/>
    <n v="0.11274405206444041"/>
    <n v="179"/>
  </r>
  <r>
    <x v="3"/>
    <n v="9.3810966751068869E-2"/>
    <n v="172"/>
  </r>
  <r>
    <x v="4"/>
    <n v="4.7214969538729328E-2"/>
    <n v="83"/>
  </r>
  <r>
    <x v="4"/>
    <n v="0.1408079806679472"/>
    <n v="235"/>
  </r>
  <r>
    <x v="0"/>
    <n v="6.4255640042732362E-2"/>
    <n v="95"/>
  </r>
  <r>
    <x v="4"/>
    <n v="0.15347655981879332"/>
    <n v="90"/>
  </r>
  <r>
    <x v="4"/>
    <n v="4.3543867212761371E-2"/>
    <n v="230"/>
  </r>
  <r>
    <x v="3"/>
    <n v="0.19548583208133888"/>
    <n v="84"/>
  </r>
  <r>
    <x v="0"/>
    <n v="8.0047619047619048E-2"/>
    <n v="103"/>
  </r>
  <r>
    <x v="4"/>
    <n v="0.11026748397882419"/>
    <n v="174"/>
  </r>
  <r>
    <x v="0"/>
    <n v="8.1036535115831879E-2"/>
    <n v="232"/>
  </r>
  <r>
    <x v="2"/>
    <n v="5.173411449857148E-2"/>
    <n v="147"/>
  </r>
  <r>
    <x v="3"/>
    <n v="0.11363049929041415"/>
    <n v="268"/>
  </r>
  <r>
    <x v="0"/>
    <n v="8.205676046117874E-2"/>
    <n v="206"/>
  </r>
  <r>
    <x v="3"/>
    <n v="6.9526910553533799E-2"/>
    <n v="202"/>
  </r>
  <r>
    <x v="4"/>
    <n v="0.10399399962497656"/>
    <n v="197"/>
  </r>
  <r>
    <x v="3"/>
    <n v="8.0484684812735408E-2"/>
    <n v="279"/>
  </r>
  <r>
    <x v="3"/>
    <n v="7.519889311656866E-2"/>
    <n v="138"/>
  </r>
  <r>
    <x v="2"/>
    <n v="0.16177247444144061"/>
    <n v="289"/>
  </r>
  <r>
    <x v="3"/>
    <n v="4.4299315445747112E-2"/>
    <n v="287"/>
  </r>
  <r>
    <x v="3"/>
    <n v="9.7668038408779148E-2"/>
    <n v="265"/>
  </r>
  <r>
    <x v="4"/>
    <n v="6.3600055728416843E-2"/>
    <n v="80"/>
  </r>
  <r>
    <x v="3"/>
    <n v="0.10772626931567329"/>
    <n v="80"/>
  </r>
  <r>
    <x v="4"/>
    <n v="3.9122543637545096E-2"/>
    <n v="195"/>
  </r>
  <r>
    <x v="4"/>
    <n v="3.9913595142645857E-2"/>
    <n v="133"/>
  </r>
  <r>
    <x v="4"/>
    <n v="0.14436927106067218"/>
    <n v="125"/>
  </r>
  <r>
    <x v="3"/>
    <n v="0.10863928268508422"/>
    <n v="275"/>
  </r>
  <r>
    <x v="4"/>
    <n v="9.379528682585335E-2"/>
    <n v="211"/>
  </r>
  <r>
    <x v="3"/>
    <n v="0.11750707750379519"/>
    <n v="154"/>
  </r>
  <r>
    <x v="4"/>
    <n v="3.9937155714174881E-2"/>
    <n v="290"/>
  </r>
  <r>
    <x v="5"/>
    <n v="0.11613367267898639"/>
    <n v="201"/>
  </r>
  <r>
    <x v="4"/>
    <n v="0.14600091693410577"/>
    <n v="92"/>
  </r>
  <r>
    <x v="0"/>
    <n v="9.8072192379135503E-2"/>
    <n v="120"/>
  </r>
  <r>
    <x v="4"/>
    <n v="0.15735977431131762"/>
    <n v="213"/>
  </r>
  <r>
    <x v="2"/>
    <n v="0.1087862256289851"/>
    <n v="191"/>
  </r>
  <r>
    <x v="4"/>
    <n v="0.20241060666934513"/>
    <n v="148"/>
  </r>
  <r>
    <x v="0"/>
    <n v="0.10249760265016128"/>
    <n v="215"/>
  </r>
  <r>
    <x v="2"/>
    <n v="0.15227535227535227"/>
    <n v="261"/>
  </r>
  <r>
    <x v="3"/>
    <n v="5.8723551855705859E-2"/>
    <n v="87"/>
  </r>
  <r>
    <x v="4"/>
    <n v="9.5101162290142052E-2"/>
    <n v="239"/>
  </r>
  <r>
    <x v="4"/>
    <n v="4.781732706514439E-2"/>
    <n v="190"/>
  </r>
  <r>
    <x v="4"/>
    <n v="0.13885094758408742"/>
    <n v="259"/>
  </r>
  <r>
    <x v="4"/>
    <n v="0.10600966926007749"/>
    <n v="291"/>
  </r>
  <r>
    <x v="5"/>
    <n v="8.8283323127168814E-2"/>
    <n v="177"/>
  </r>
  <r>
    <x v="5"/>
    <n v="2.50275284149232E-2"/>
    <n v="220"/>
  </r>
  <r>
    <x v="5"/>
    <n v="0.11124541239039185"/>
    <n v="116"/>
  </r>
  <r>
    <x v="0"/>
    <n v="8.8087436599488311E-2"/>
    <n v="171"/>
  </r>
  <r>
    <x v="3"/>
    <n v="4.3619068768968837E-2"/>
    <n v="182"/>
  </r>
  <r>
    <x v="4"/>
    <n v="3.6351938233874857E-2"/>
    <n v="237"/>
  </r>
  <r>
    <x v="3"/>
    <n v="9.2093661212893113E-2"/>
    <n v="205"/>
  </r>
  <r>
    <x v="5"/>
    <n v="3.5777344113000653E-2"/>
    <n v="109"/>
  </r>
  <r>
    <x v="3"/>
    <n v="9.0267383317458164E-2"/>
    <n v="227"/>
  </r>
  <r>
    <x v="0"/>
    <n v="0.17658969920637513"/>
    <n v="267"/>
  </r>
  <r>
    <x v="4"/>
    <n v="0.18517978620019437"/>
    <n v="221"/>
  </r>
  <r>
    <x v="2"/>
    <n v="4.6406515707509172E-2"/>
    <n v="227"/>
  </r>
  <r>
    <x v="4"/>
    <n v="0.10657378184897237"/>
    <n v="107"/>
  </r>
  <r>
    <x v="4"/>
    <n v="0.1607525766064882"/>
    <n v="135"/>
  </r>
  <r>
    <x v="4"/>
    <n v="8.1549489395129612E-2"/>
    <n v="193"/>
  </r>
  <r>
    <x v="0"/>
    <n v="5.2042268944371438E-2"/>
    <n v="270"/>
  </r>
  <r>
    <x v="2"/>
    <n v="4.0418432004799221E-2"/>
    <n v="88"/>
  </r>
  <r>
    <x v="3"/>
    <n v="5.1660428636136076E-2"/>
    <n v="101"/>
  </r>
  <r>
    <x v="4"/>
    <n v="7.611534979956032E-2"/>
    <n v="207"/>
  </r>
  <r>
    <x v="4"/>
    <n v="9.6080290300434801E-2"/>
    <n v="88"/>
  </r>
  <r>
    <x v="3"/>
    <n v="0.13476527900797167"/>
    <n v="109"/>
  </r>
  <r>
    <x v="0"/>
    <n v="0.14335162515829464"/>
    <n v="128"/>
  </r>
  <r>
    <x v="3"/>
    <n v="7.3021390374331557E-2"/>
    <n v="157"/>
  </r>
  <r>
    <x v="4"/>
    <n v="8.8232696960599044E-2"/>
    <n v="184"/>
  </r>
  <r>
    <x v="4"/>
    <n v="5.9312714776632303E-2"/>
    <n v="182"/>
  </r>
  <r>
    <x v="3"/>
    <n v="0.1471166637746544"/>
    <n v="180"/>
  </r>
  <r>
    <x v="4"/>
    <n v="0.16283364109451065"/>
    <n v="122"/>
  </r>
  <r>
    <x v="3"/>
    <n v="6.0050273034584378E-2"/>
    <n v="264"/>
  </r>
  <r>
    <x v="3"/>
    <n v="4.4438295517432211E-2"/>
    <n v="169"/>
  </r>
  <r>
    <x v="3"/>
    <n v="6.1158416768035934E-2"/>
    <n v="160"/>
  </r>
  <r>
    <x v="3"/>
    <n v="0.18086628511966701"/>
    <n v="298"/>
  </r>
  <r>
    <x v="3"/>
    <n v="9.8770390509144837E-2"/>
    <n v="120"/>
  </r>
  <r>
    <x v="3"/>
    <n v="0.17642537414658407"/>
    <n v="160"/>
  </r>
  <r>
    <x v="4"/>
    <n v="7.8512996756861422E-2"/>
    <n v="111"/>
  </r>
  <r>
    <x v="0"/>
    <n v="7.974671020085089E-2"/>
    <n v="82"/>
  </r>
  <r>
    <x v="4"/>
    <n v="6.3999063999063993E-2"/>
    <n v="169"/>
  </r>
  <r>
    <x v="3"/>
    <n v="0.1439786294499264"/>
    <n v="98"/>
  </r>
  <r>
    <x v="4"/>
    <n v="0.14130742382794076"/>
    <n v="241"/>
  </r>
  <r>
    <x v="3"/>
    <n v="0.13528464682326713"/>
    <n v="114"/>
  </r>
  <r>
    <x v="4"/>
    <n v="0.10550008380623997"/>
    <n v="191"/>
  </r>
  <r>
    <x v="2"/>
    <n v="9.4690354648038683E-2"/>
    <n v="157"/>
  </r>
  <r>
    <x v="4"/>
    <n v="6.934441139598338E-2"/>
    <n v="258"/>
  </r>
  <r>
    <x v="4"/>
    <n v="0.10077583818232197"/>
    <n v="181"/>
  </r>
  <r>
    <x v="4"/>
    <n v="8.2866791077934779E-2"/>
    <n v="218"/>
  </r>
  <r>
    <x v="4"/>
    <n v="0.14485195154777927"/>
    <n v="282"/>
  </r>
  <r>
    <x v="3"/>
    <n v="6.6614370881706936E-2"/>
    <n v="263"/>
  </r>
  <r>
    <x v="2"/>
    <n v="8.8705674736667947E-2"/>
    <n v="132"/>
  </r>
  <r>
    <x v="4"/>
    <n v="6.2084853138798232E-2"/>
    <n v="133"/>
  </r>
  <r>
    <x v="3"/>
    <n v="0.23193025217961938"/>
    <n v="91"/>
  </r>
  <r>
    <x v="4"/>
    <n v="8.6598679355949518E-2"/>
    <n v="102"/>
  </r>
  <r>
    <x v="0"/>
    <n v="0.10949965468790931"/>
    <n v="118"/>
  </r>
  <r>
    <x v="3"/>
    <n v="0.13838335084182732"/>
    <n v="164"/>
  </r>
  <r>
    <x v="4"/>
    <n v="0.16033389770445328"/>
    <n v="131"/>
  </r>
  <r>
    <x v="0"/>
    <n v="0.16641897515158721"/>
    <n v="194"/>
  </r>
  <r>
    <x v="3"/>
    <n v="5.2993862995521647E-2"/>
    <n v="170"/>
  </r>
  <r>
    <x v="3"/>
    <n v="3.9674653122814763E-2"/>
    <n v="282"/>
  </r>
  <r>
    <x v="4"/>
    <n v="5.1173769923769923E-2"/>
    <n v="141"/>
  </r>
  <r>
    <x v="4"/>
    <n v="8.6978468608031198E-2"/>
    <n v="251"/>
  </r>
  <r>
    <x v="4"/>
    <n v="4.9881554861634543E-2"/>
    <n v="245"/>
  </r>
  <r>
    <x v="4"/>
    <n v="3.4977365592309385E-2"/>
    <n v="211"/>
  </r>
  <r>
    <x v="2"/>
    <n v="4.1192869195216787E-2"/>
    <n v="195"/>
  </r>
  <r>
    <x v="3"/>
    <n v="5.7963823356939871E-2"/>
    <n v="176"/>
  </r>
  <r>
    <x v="4"/>
    <n v="4.7099090384865788E-2"/>
    <n v="277"/>
  </r>
  <r>
    <x v="4"/>
    <n v="9.3980281287635997E-2"/>
    <n v="200"/>
  </r>
  <r>
    <x v="2"/>
    <n v="3.5847516903707161E-2"/>
    <n v="230"/>
  </r>
  <r>
    <x v="5"/>
    <n v="5.8764788517847777E-2"/>
    <n v="236"/>
  </r>
  <r>
    <x v="3"/>
    <n v="8.5455879813503707E-2"/>
    <n v="299"/>
  </r>
  <r>
    <x v="4"/>
    <n v="0.11041472996071611"/>
    <n v="173"/>
  </r>
  <r>
    <x v="3"/>
    <n v="7.064131830503638E-2"/>
    <n v="113"/>
  </r>
  <r>
    <x v="4"/>
    <n v="3.4738711788351875E-2"/>
    <n v="145"/>
  </r>
  <r>
    <x v="3"/>
    <n v="0.10461100954702417"/>
    <n v="176"/>
  </r>
  <r>
    <x v="2"/>
    <n v="7.9993453221219743E-2"/>
    <n v="224"/>
  </r>
  <r>
    <x v="5"/>
    <n v="2.811915575741384E-2"/>
    <n v="205"/>
  </r>
  <r>
    <x v="4"/>
    <n v="5.4592988710635768E-2"/>
    <n v="205"/>
  </r>
  <r>
    <x v="4"/>
    <n v="9.2466575934672959E-2"/>
    <n v="148"/>
  </r>
  <r>
    <x v="5"/>
    <n v="4.7508511296812134E-2"/>
    <n v="139"/>
  </r>
  <r>
    <x v="4"/>
    <n v="7.4861184558434685E-2"/>
    <n v="196"/>
  </r>
  <r>
    <x v="3"/>
    <n v="9.6834214933149046E-2"/>
    <n v="127"/>
  </r>
  <r>
    <x v="4"/>
    <n v="0.18723441538528934"/>
    <n v="199"/>
  </r>
  <r>
    <x v="3"/>
    <n v="0.16610252187966945"/>
    <n v="296"/>
  </r>
  <r>
    <x v="2"/>
    <n v="2.7809319322005904E-2"/>
    <n v="236"/>
  </r>
  <r>
    <x v="4"/>
    <n v="0.11645414595490239"/>
    <n v="289"/>
  </r>
  <r>
    <x v="3"/>
    <n v="8.702596166915863E-2"/>
    <n v="236"/>
  </r>
  <r>
    <x v="0"/>
    <n v="7.0594928198320889E-2"/>
    <n v="273"/>
  </r>
  <r>
    <x v="4"/>
    <n v="0.11731037798484398"/>
    <n v="92"/>
  </r>
  <r>
    <x v="4"/>
    <n v="9.2634518149573616E-2"/>
    <n v="105"/>
  </r>
  <r>
    <x v="3"/>
    <n v="6.0370736430199488E-2"/>
    <n v="82"/>
  </r>
  <r>
    <x v="3"/>
    <n v="0.11477740733477153"/>
    <n v="277"/>
  </r>
  <r>
    <x v="4"/>
    <n v="8.1504318676747664E-2"/>
    <n v="245"/>
  </r>
  <r>
    <x v="3"/>
    <n v="7.1988159338556151E-2"/>
    <n v="208"/>
  </r>
  <r>
    <x v="2"/>
    <n v="0.10708707332819627"/>
    <n v="270"/>
  </r>
  <r>
    <x v="4"/>
    <n v="8.1341895638137346E-2"/>
    <n v="286"/>
  </r>
  <r>
    <x v="3"/>
    <n v="9.4928992718046723E-2"/>
    <n v="88"/>
  </r>
  <r>
    <x v="4"/>
    <n v="6.9360859297630834E-2"/>
    <n v="219"/>
  </r>
  <r>
    <x v="4"/>
    <n v="9.2425876010781671E-2"/>
    <n v="272"/>
  </r>
  <r>
    <x v="2"/>
    <n v="8.2469701307376658E-2"/>
    <n v="87"/>
  </r>
  <r>
    <x v="4"/>
    <n v="5.9585542168674697E-2"/>
    <n v="92"/>
  </r>
  <r>
    <x v="3"/>
    <n v="0.10400389436534015"/>
    <n v="236"/>
  </r>
  <r>
    <x v="0"/>
    <n v="3.8832755240536872E-2"/>
    <n v="230"/>
  </r>
  <r>
    <x v="5"/>
    <n v="0.19390491670052823"/>
    <n v="158"/>
  </r>
  <r>
    <x v="2"/>
    <n v="0.16116683482699271"/>
    <n v="216"/>
  </r>
  <r>
    <x v="4"/>
    <n v="8.3133241487896081E-2"/>
    <n v="219"/>
  </r>
  <r>
    <x v="0"/>
    <n v="4.9951325040562468E-2"/>
    <n v="293"/>
  </r>
  <r>
    <x v="4"/>
    <n v="0.1552751489660007"/>
    <n v="275"/>
  </r>
  <r>
    <x v="3"/>
    <n v="0.11258173796580792"/>
    <n v="100"/>
  </r>
  <r>
    <x v="0"/>
    <n v="0.11046681895390383"/>
    <n v="256"/>
  </r>
  <r>
    <x v="4"/>
    <n v="3.5523669554455448E-2"/>
    <n v="168"/>
  </r>
  <r>
    <x v="4"/>
    <n v="0.10652531529884847"/>
    <n v="258"/>
  </r>
  <r>
    <x v="4"/>
    <n v="9.2244407295403744E-2"/>
    <n v="288"/>
  </r>
  <r>
    <x v="5"/>
    <n v="0.1612578785034196"/>
    <n v="298"/>
  </r>
  <r>
    <x v="3"/>
    <n v="0.10143081434961637"/>
    <n v="121"/>
  </r>
  <r>
    <x v="5"/>
    <n v="8.4528099363643333E-2"/>
    <n v="175"/>
  </r>
  <r>
    <x v="4"/>
    <n v="0.15513030574705536"/>
    <n v="259"/>
  </r>
  <r>
    <x v="4"/>
    <n v="9.8031707130274953E-2"/>
    <n v="135"/>
  </r>
  <r>
    <x v="5"/>
    <n v="0.16447098339242397"/>
    <n v="278"/>
  </r>
  <r>
    <x v="4"/>
    <n v="0.10077178019329269"/>
    <n v="230"/>
  </r>
  <r>
    <x v="5"/>
    <n v="0.10256458679558846"/>
    <n v="269"/>
  </r>
  <r>
    <x v="2"/>
    <n v="5.6980732739746021E-2"/>
    <n v="98"/>
  </r>
  <r>
    <x v="3"/>
    <n v="8.4227733207149463E-2"/>
    <n v="150"/>
  </r>
  <r>
    <x v="4"/>
    <n v="0.1728980597474592"/>
    <n v="178"/>
  </r>
  <r>
    <x v="4"/>
    <n v="7.3899528727564417E-2"/>
    <n v="161"/>
  </r>
  <r>
    <x v="4"/>
    <n v="7.090200025160398E-2"/>
    <n v="208"/>
  </r>
  <r>
    <x v="3"/>
    <n v="7.7731488624869283E-2"/>
    <n v="85"/>
  </r>
  <r>
    <x v="4"/>
    <n v="4.2982250109049422E-2"/>
    <n v="281"/>
  </r>
  <r>
    <x v="3"/>
    <n v="7.2213401079707848E-2"/>
    <n v="112"/>
  </r>
  <r>
    <x v="4"/>
    <n v="0.16743869209809265"/>
    <n v="286"/>
  </r>
  <r>
    <x v="3"/>
    <n v="6.2648374965860634E-2"/>
    <n v="287"/>
  </r>
  <r>
    <x v="0"/>
    <n v="8.5966298051606105E-2"/>
    <n v="219"/>
  </r>
  <r>
    <x v="3"/>
    <n v="0.22967524699836073"/>
    <n v="197"/>
  </r>
  <r>
    <x v="0"/>
    <n v="0.12920396165457337"/>
    <n v="204"/>
  </r>
  <r>
    <x v="4"/>
    <n v="9.8222596516111871E-2"/>
    <n v="168"/>
  </r>
  <r>
    <x v="0"/>
    <n v="0.11349824183418362"/>
    <n v="216"/>
  </r>
  <r>
    <x v="3"/>
    <n v="9.4251731312692155E-2"/>
    <n v="241"/>
  </r>
  <r>
    <x v="0"/>
    <n v="0.10173025732031943"/>
    <n v="240"/>
  </r>
  <r>
    <x v="2"/>
    <n v="8.9237069349238848E-2"/>
    <n v="173"/>
  </r>
  <r>
    <x v="0"/>
    <n v="6.5015829941203071E-2"/>
    <n v="232"/>
  </r>
  <r>
    <x v="3"/>
    <n v="5.6436966727204191E-2"/>
    <n v="269"/>
  </r>
  <r>
    <x v="5"/>
    <n v="0.10713930842607314"/>
    <n v="213"/>
  </r>
  <r>
    <x v="3"/>
    <n v="5.1833640647408315E-2"/>
    <n v="272"/>
  </r>
  <r>
    <x v="5"/>
    <n v="3.5821698002251455E-2"/>
    <n v="239"/>
  </r>
  <r>
    <x v="3"/>
    <n v="3.5034029141734799E-2"/>
    <n v="222"/>
  </r>
  <r>
    <x v="3"/>
    <n v="0.13946227759085811"/>
    <n v="276"/>
  </r>
  <r>
    <x v="4"/>
    <n v="4.5247823769763724E-2"/>
    <n v="196"/>
  </r>
  <r>
    <x v="3"/>
    <n v="6.2974139146620034E-2"/>
    <n v="114"/>
  </r>
  <r>
    <x v="3"/>
    <n v="0.10784235029699792"/>
    <n v="157"/>
  </r>
  <r>
    <x v="4"/>
    <n v="8.2690258629040073E-2"/>
    <n v="111"/>
  </r>
  <r>
    <x v="4"/>
    <n v="9.7836889180216949E-2"/>
    <n v="232"/>
  </r>
  <r>
    <x v="4"/>
    <n v="7.7428927315357568E-2"/>
    <n v="117"/>
  </r>
  <r>
    <x v="2"/>
    <n v="7.9782521843353188E-2"/>
    <n v="222"/>
  </r>
  <r>
    <x v="3"/>
    <n v="7.1022341272152026E-2"/>
    <n v="155"/>
  </r>
  <r>
    <x v="4"/>
    <n v="3.9319108127547353E-2"/>
    <n v="239"/>
  </r>
  <r>
    <x v="2"/>
    <n v="7.7181741758116915E-2"/>
    <n v="118"/>
  </r>
  <r>
    <x v="3"/>
    <n v="3.4110398272247981E-2"/>
    <n v="275"/>
  </r>
  <r>
    <x v="2"/>
    <n v="3.1623578076525334E-2"/>
    <n v="232"/>
  </r>
  <r>
    <x v="2"/>
    <n v="4.0153279184466734E-2"/>
    <n v="296"/>
  </r>
  <r>
    <x v="4"/>
    <n v="0.17995832544042431"/>
    <n v="147"/>
  </r>
  <r>
    <x v="4"/>
    <n v="0.12555218709398008"/>
    <n v="293"/>
  </r>
  <r>
    <x v="5"/>
    <n v="8.2744836775483013E-2"/>
    <n v="186"/>
  </r>
  <r>
    <x v="4"/>
    <n v="5.2041730205988429E-2"/>
    <n v="174"/>
  </r>
  <r>
    <x v="3"/>
    <n v="9.4450189589796618E-2"/>
    <n v="133"/>
  </r>
  <r>
    <x v="2"/>
    <n v="0.12409349336702463"/>
    <n v="265"/>
  </r>
  <r>
    <x v="4"/>
    <n v="4.5610431884675749E-2"/>
    <n v="176"/>
  </r>
  <r>
    <x v="5"/>
    <n v="8.0371103929948923E-2"/>
    <n v="255"/>
  </r>
  <r>
    <x v="3"/>
    <n v="0.1271002400274317"/>
    <n v="282"/>
  </r>
  <r>
    <x v="4"/>
    <n v="8.6602037169406718E-2"/>
    <n v="178"/>
  </r>
  <r>
    <x v="4"/>
    <n v="2.9336922849977874E-2"/>
    <n v="271"/>
  </r>
  <r>
    <x v="4"/>
    <n v="0.11126822801590809"/>
    <n v="103"/>
  </r>
  <r>
    <x v="5"/>
    <n v="5.2566815966924252E-2"/>
    <n v="197"/>
  </r>
  <r>
    <x v="3"/>
    <n v="5.2513742764570971E-2"/>
    <n v="265"/>
  </r>
  <r>
    <x v="5"/>
    <n v="0.12406981463942633"/>
    <n v="294"/>
  </r>
  <r>
    <x v="0"/>
    <n v="3.1839004091338254E-2"/>
    <n v="101"/>
  </r>
  <r>
    <x v="5"/>
    <n v="9.191926295801392E-2"/>
    <n v="257"/>
  </r>
  <r>
    <x v="5"/>
    <n v="4.9646286003031836E-2"/>
    <n v="246"/>
  </r>
  <r>
    <x v="3"/>
    <n v="6.76784936509532E-2"/>
    <n v="213"/>
  </r>
  <r>
    <x v="5"/>
    <n v="0.10985069273191947"/>
    <n v="290"/>
  </r>
  <r>
    <x v="4"/>
    <n v="8.0741841282852611E-2"/>
    <n v="277"/>
  </r>
  <r>
    <x v="4"/>
    <n v="0.16790703227603773"/>
    <n v="263"/>
  </r>
  <r>
    <x v="5"/>
    <n v="6.4655069273288512E-2"/>
    <n v="172"/>
  </r>
  <r>
    <x v="4"/>
    <n v="8.1666436749896543E-2"/>
    <n v="145"/>
  </r>
  <r>
    <x v="5"/>
    <n v="0.13077197816215114"/>
    <n v="297"/>
  </r>
  <r>
    <x v="3"/>
    <n v="5.3094209744904843E-2"/>
    <n v="214"/>
  </r>
  <r>
    <x v="3"/>
    <n v="0.17088145896656534"/>
    <n v="160"/>
  </r>
  <r>
    <x v="5"/>
    <n v="0.10547128720437092"/>
    <n v="277"/>
  </r>
  <r>
    <x v="4"/>
    <n v="4.819683813738912E-2"/>
    <n v="104"/>
  </r>
  <r>
    <x v="2"/>
    <n v="0.13404136389044158"/>
    <n v="133"/>
  </r>
  <r>
    <x v="2"/>
    <n v="9.8193807339449546E-2"/>
    <n v="255"/>
  </r>
  <r>
    <x v="5"/>
    <n v="8.6517714206166912E-2"/>
    <n v="159"/>
  </r>
  <r>
    <x v="3"/>
    <n v="9.2712236723090841E-2"/>
    <n v="104"/>
  </r>
  <r>
    <x v="3"/>
    <n v="0.16477245248343569"/>
    <n v="130"/>
  </r>
  <r>
    <x v="2"/>
    <n v="7.1354340971940891E-2"/>
    <n v="163"/>
  </r>
  <r>
    <x v="0"/>
    <n v="0.19261223173659131"/>
    <n v="225"/>
  </r>
  <r>
    <x v="4"/>
    <n v="0.14674444862627023"/>
    <n v="96"/>
  </r>
  <r>
    <x v="4"/>
    <n v="0.17799483100057059"/>
    <n v="145"/>
  </r>
  <r>
    <x v="4"/>
    <n v="4.4258807658382193E-2"/>
    <n v="262"/>
  </r>
  <r>
    <x v="5"/>
    <n v="0.10762898272970794"/>
    <n v="248"/>
  </r>
  <r>
    <x v="5"/>
    <n v="5.0121212121212122E-2"/>
    <n v="160"/>
  </r>
  <r>
    <x v="4"/>
    <n v="0.15451192239551567"/>
    <n v="262"/>
  </r>
  <r>
    <x v="2"/>
    <n v="5.7503193495407452E-2"/>
    <n v="90"/>
  </r>
  <r>
    <x v="3"/>
    <n v="5.2312660271630736E-2"/>
    <n v="146"/>
  </r>
  <r>
    <x v="2"/>
    <n v="8.5608773500447627E-2"/>
    <n v="272"/>
  </r>
  <r>
    <x v="0"/>
    <n v="3.3729709324273313E-2"/>
    <n v="286"/>
  </r>
  <r>
    <x v="3"/>
    <n v="7.5077784691972627E-2"/>
    <n v="138"/>
  </r>
  <r>
    <x v="3"/>
    <n v="8.3423643616408028E-2"/>
    <n v="128"/>
  </r>
  <r>
    <x v="4"/>
    <n v="6.8477000386548123E-2"/>
    <n v="190"/>
  </r>
  <r>
    <x v="3"/>
    <n v="0.12190780876853062"/>
    <n v="174"/>
  </r>
  <r>
    <x v="5"/>
    <n v="5.4473577117609438E-2"/>
    <n v="173"/>
  </r>
  <r>
    <x v="0"/>
    <n v="5.4859907104176028E-2"/>
    <n v="185"/>
  </r>
  <r>
    <x v="2"/>
    <n v="9.0752980172121162E-2"/>
    <n v="221"/>
  </r>
  <r>
    <x v="4"/>
    <n v="0.11695224773672146"/>
    <n v="246"/>
  </r>
  <r>
    <x v="5"/>
    <n v="6.1279893894806647E-2"/>
    <n v="111"/>
  </r>
  <r>
    <x v="0"/>
    <n v="7.3202671439172376E-2"/>
    <n v="85"/>
  </r>
  <r>
    <x v="0"/>
    <n v="9.2893873181347508E-2"/>
    <n v="205"/>
  </r>
  <r>
    <x v="2"/>
    <n v="3.3603177027646251E-2"/>
    <n v="265"/>
  </r>
  <r>
    <x v="2"/>
    <n v="0.14843585975225698"/>
    <n v="210"/>
  </r>
  <r>
    <x v="4"/>
    <n v="5.1861351697967357E-2"/>
    <n v="126"/>
  </r>
  <r>
    <x v="4"/>
    <n v="6.6160796354604659E-2"/>
    <n v="276"/>
  </r>
  <r>
    <x v="4"/>
    <n v="5.4638246772740921E-2"/>
    <n v="195"/>
  </r>
  <r>
    <x v="4"/>
    <n v="9.4139757389372969E-2"/>
    <n v="234"/>
  </r>
  <r>
    <x v="4"/>
    <n v="5.7682545054573146E-2"/>
    <n v="143"/>
  </r>
  <r>
    <x v="4"/>
    <n v="8.3972409065592737E-2"/>
    <n v="184"/>
  </r>
  <r>
    <x v="3"/>
    <n v="6.6186514342481059E-2"/>
    <n v="163"/>
  </r>
  <r>
    <x v="3"/>
    <n v="0.20445859872611466"/>
    <n v="212"/>
  </r>
  <r>
    <x v="2"/>
    <n v="0.1122776514644911"/>
    <n v="184"/>
  </r>
  <r>
    <x v="3"/>
    <n v="9.8640235621946709E-2"/>
    <n v="291"/>
  </r>
  <r>
    <x v="3"/>
    <n v="5.4576862557296296E-2"/>
    <n v="163"/>
  </r>
  <r>
    <x v="4"/>
    <n v="8.628318584070796E-2"/>
    <n v="295"/>
  </r>
  <r>
    <x v="4"/>
    <n v="8.4056399132321047E-2"/>
    <n v="111"/>
  </r>
  <r>
    <x v="5"/>
    <n v="3.4229485151994379E-2"/>
    <n v="228"/>
  </r>
  <r>
    <x v="4"/>
    <n v="0.11467469950680724"/>
    <n v="198"/>
  </r>
  <r>
    <x v="5"/>
    <n v="8.4548582664263475E-2"/>
    <n v="156"/>
  </r>
  <r>
    <x v="2"/>
    <n v="0.10546200140489435"/>
    <n v="114"/>
  </r>
  <r>
    <x v="4"/>
    <n v="0.10338095327488783"/>
    <n v="269"/>
  </r>
  <r>
    <x v="4"/>
    <n v="0.1565595352530614"/>
    <n v="155"/>
  </r>
  <r>
    <x v="3"/>
    <n v="5.8052595393606049E-2"/>
    <n v="178"/>
  </r>
  <r>
    <x v="3"/>
    <n v="0.12976726726726726"/>
    <n v="112"/>
  </r>
  <r>
    <x v="0"/>
    <n v="4.4999031758326875E-2"/>
    <n v="106"/>
  </r>
  <r>
    <x v="4"/>
    <n v="3.221173574066475E-2"/>
    <n v="147"/>
  </r>
  <r>
    <x v="4"/>
    <n v="0.1109777812185492"/>
    <n v="165"/>
  </r>
  <r>
    <x v="3"/>
    <n v="0.1191007493755204"/>
    <n v="165"/>
  </r>
  <r>
    <x v="4"/>
    <n v="5.9775576027966085E-2"/>
    <n v="160"/>
  </r>
  <r>
    <x v="4"/>
    <n v="6.1064362065044349E-2"/>
    <n v="83"/>
  </r>
  <r>
    <x v="2"/>
    <n v="5.5797564422760453E-2"/>
    <n v="240"/>
  </r>
  <r>
    <x v="3"/>
    <n v="9.4300914496331587E-2"/>
    <n v="2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7B6205-08ED-481C-938B-280208427F1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latform / Content Type">
  <location ref="A21:D31" firstHeaderRow="0" firstDataRow="1" firstDataCol="1"/>
  <pivotFields count="15">
    <pivotField showAll="0"/>
    <pivotField axis="axisRow" showAll="0">
      <items count="4">
        <item x="0"/>
        <item x="1"/>
        <item x="2"/>
        <item t="default"/>
      </items>
    </pivotField>
    <pivotField numFmtId="164" showAll="0"/>
    <pivotField axis="axisRow" showAll="0">
      <items count="4">
        <item x="2"/>
        <item x="1"/>
        <item x="0"/>
        <item t="default"/>
      </items>
    </pivotField>
    <pivotField showAll="0"/>
    <pivotField dataField="1" numFmtId="2" showAll="0"/>
    <pivotField dataField="1" numFmtId="2" showAll="0"/>
    <pivotField dataField="1" numFmtId="2" showAll="0"/>
    <pivotField numFmtId="2" showAll="0"/>
    <pivotField numFmtId="2" showAll="0"/>
    <pivotField numFmtId="2" showAll="0"/>
    <pivotField showAll="0"/>
    <pivotField showAll="0"/>
    <pivotField showAll="0"/>
    <pivotField numFmtId="9" showAll="0"/>
  </pivotFields>
  <rowFields count="2">
    <field x="1"/>
    <field x="3"/>
  </rowFields>
  <rowItems count="10">
    <i>
      <x/>
    </i>
    <i r="1">
      <x v="1"/>
    </i>
    <i r="1">
      <x v="2"/>
    </i>
    <i>
      <x v="1"/>
    </i>
    <i r="1">
      <x v="1"/>
    </i>
    <i r="1">
      <x v="2"/>
    </i>
    <i>
      <x v="2"/>
    </i>
    <i r="1">
      <x/>
    </i>
    <i r="1">
      <x v="2"/>
    </i>
    <i t="grand">
      <x/>
    </i>
  </rowItems>
  <colFields count="1">
    <field x="-2"/>
  </colFields>
  <colItems count="3">
    <i>
      <x/>
    </i>
    <i i="1">
      <x v="1"/>
    </i>
    <i i="2">
      <x v="2"/>
    </i>
  </colItems>
  <dataFields count="3">
    <dataField name="Sum of Likes" fld="5" baseField="0" baseItem="0" numFmtId="2"/>
    <dataField name="Sum of Shares" fld="6" baseField="0" baseItem="0" numFmtId="2"/>
    <dataField name="Sum of Comments" fld="7" baseField="0" baseItem="0" numFmtId="2"/>
  </dataFields>
  <formats count="9">
    <format dxfId="57">
      <pivotArea type="all" dataOnly="0" outline="0" fieldPosition="0"/>
    </format>
    <format dxfId="56">
      <pivotArea outline="0" collapsedLevelsAreSubtotals="1" fieldPosition="0"/>
    </format>
    <format dxfId="55">
      <pivotArea field="1" type="button" dataOnly="0" labelOnly="1" outline="0" axis="axisRow" fieldPosition="0"/>
    </format>
    <format dxfId="54">
      <pivotArea dataOnly="0" labelOnly="1" fieldPosition="0">
        <references count="1">
          <reference field="1" count="0"/>
        </references>
      </pivotArea>
    </format>
    <format dxfId="53">
      <pivotArea dataOnly="0" labelOnly="1" grandRow="1" outline="0" fieldPosition="0"/>
    </format>
    <format dxfId="52">
      <pivotArea dataOnly="0" labelOnly="1" fieldPosition="0">
        <references count="2">
          <reference field="1" count="1" selected="0">
            <x v="0"/>
          </reference>
          <reference field="3" count="2">
            <x v="1"/>
            <x v="2"/>
          </reference>
        </references>
      </pivotArea>
    </format>
    <format dxfId="51">
      <pivotArea dataOnly="0" labelOnly="1" fieldPosition="0">
        <references count="2">
          <reference field="1" count="1" selected="0">
            <x v="1"/>
          </reference>
          <reference field="3" count="2">
            <x v="1"/>
            <x v="2"/>
          </reference>
        </references>
      </pivotArea>
    </format>
    <format dxfId="50">
      <pivotArea dataOnly="0" labelOnly="1" fieldPosition="0">
        <references count="2">
          <reference field="1" count="1" selected="0">
            <x v="2"/>
          </reference>
          <reference field="3" count="2">
            <x v="0"/>
            <x v="2"/>
          </reference>
        </references>
      </pivotArea>
    </format>
    <format dxfId="49">
      <pivotArea dataOnly="0" labelOnly="1" outline="0" fieldPosition="0">
        <references count="1">
          <reference field="4294967294" count="3">
            <x v="0"/>
            <x v="1"/>
            <x v="2"/>
          </reference>
        </references>
      </pivotArea>
    </format>
  </formats>
  <chartFormats count="3">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8EE8E0-1922-4BAD-9A54-C9519F7F6721}"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Hashtags">
  <location ref="A49:B55" firstHeaderRow="1" firstDataRow="1" firstDataCol="1"/>
  <pivotFields count="3">
    <pivotField axis="axisRow" showAll="0">
      <items count="7">
        <item x="1"/>
        <item x="2"/>
        <item x="3"/>
        <item x="0"/>
        <item x="5"/>
        <item h="1" x="4"/>
        <item t="default"/>
      </items>
    </pivotField>
    <pivotField numFmtId="9" showAll="0"/>
    <pivotField dataField="1" numFmtId="2" showAll="0"/>
  </pivotFields>
  <rowFields count="1">
    <field x="0"/>
  </rowFields>
  <rowItems count="6">
    <i>
      <x/>
    </i>
    <i>
      <x v="1"/>
    </i>
    <i>
      <x v="2"/>
    </i>
    <i>
      <x v="3"/>
    </i>
    <i>
      <x v="4"/>
    </i>
    <i t="grand">
      <x/>
    </i>
  </rowItems>
  <colItems count="1">
    <i/>
  </colItems>
  <dataFields count="1">
    <dataField name="Average of Clicks" fld="2" subtotal="average" baseField="0" baseItem="0" numFmtId="2"/>
  </dataFields>
  <formats count="6">
    <format dxfId="63">
      <pivotArea type="all" dataOnly="0" outline="0" fieldPosition="0"/>
    </format>
    <format dxfId="62">
      <pivotArea outline="0" collapsedLevelsAreSubtotals="1" fieldPosition="0"/>
    </format>
    <format dxfId="61">
      <pivotArea field="0" type="button" dataOnly="0" labelOnly="1" outline="0" axis="axisRow" fieldPosition="0"/>
    </format>
    <format dxfId="60">
      <pivotArea dataOnly="0" labelOnly="1" fieldPosition="0">
        <references count="1">
          <reference field="0" count="0"/>
        </references>
      </pivotArea>
    </format>
    <format dxfId="59">
      <pivotArea dataOnly="0" labelOnly="1" grandRow="1" outline="0" fieldPosition="0"/>
    </format>
    <format dxfId="5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E9EBFF-7E92-447E-9F50-B47784CE3BD6}" name="PivotTable6"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7" rowHeaderCaption="Week_Start_Date" colHeaderCaption="Platform">
  <location ref="A25:E94" firstHeaderRow="1" firstDataRow="2" firstDataCol="1"/>
  <pivotFields count="9">
    <pivotField axis="axisRow" compact="0" numFmtId="164" outline="0"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axis="axisCol" compact="0" outline="0" showAll="0">
      <items count="4">
        <item x="0"/>
        <item x="1"/>
        <item x="2"/>
        <item t="default"/>
      </items>
    </pivotField>
    <pivotField compact="0" numFmtId="1" outline="0" showAll="0"/>
    <pivotField compact="0" numFmtId="1" outline="0" showAll="0"/>
    <pivotField compact="0" numFmtId="1" outline="0" showAll="0"/>
    <pivotField compact="0" numFmtId="2" outline="0" showAll="0"/>
    <pivotField compact="0" numFmtId="1" outline="0" showAll="0"/>
    <pivotField compact="0" numFmtId="1" outline="0" showAll="0"/>
    <pivotField dataField="1" compact="0" numFmtId="10" outline="0" showAll="0"/>
  </pivotFields>
  <rowFields count="1">
    <field x="0"/>
  </rowFields>
  <rowItems count="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t="grand">
      <x/>
    </i>
  </rowItems>
  <colFields count="1">
    <field x="1"/>
  </colFields>
  <colItems count="4">
    <i>
      <x/>
    </i>
    <i>
      <x v="1"/>
    </i>
    <i>
      <x v="2"/>
    </i>
    <i t="grand">
      <x/>
    </i>
  </colItems>
  <dataFields count="1">
    <dataField name="Average of Growth Rate %" fld="8" subtotal="average" baseField="0" baseItem="0" numFmtId="10"/>
  </dataFields>
  <formats count="1">
    <format dxfId="41">
      <pivotArea type="all" dataOnly="0" outline="0" fieldPosition="0"/>
    </format>
  </formats>
  <chartFormats count="3">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1B7062-63A3-4CDC-A043-B0991D53E963}"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rowHeaderCaption="Platform">
  <location ref="A2:B6" firstHeaderRow="1" firstDataRow="1" firstDataCol="1"/>
  <pivotFields count="7">
    <pivotField compact="0" numFmtId="164" outline="0" showAll="0"/>
    <pivotField axis="axisRow" compact="0" outline="0" showAll="0" sortType="descending">
      <items count="4">
        <item x="0"/>
        <item x="1"/>
        <item x="2"/>
        <item t="default"/>
      </items>
      <autoSortScope>
        <pivotArea dataOnly="0" outline="0" fieldPosition="0">
          <references count="1">
            <reference field="4294967294" count="1" selected="0">
              <x v="0"/>
            </reference>
          </references>
        </pivotArea>
      </autoSortScope>
    </pivotField>
    <pivotField compact="0" numFmtId="1" outline="0" showAll="0"/>
    <pivotField compact="0" numFmtId="1" outline="0" showAll="0"/>
    <pivotField compact="0" numFmtId="1" outline="0" showAll="0"/>
    <pivotField dataField="1" compact="0" numFmtId="2" outline="0" showAll="0"/>
    <pivotField compact="0" numFmtId="1" outline="0" showAll="0"/>
  </pivotFields>
  <rowFields count="1">
    <field x="1"/>
  </rowFields>
  <rowItems count="4">
    <i>
      <x v="1"/>
    </i>
    <i>
      <x v="2"/>
    </i>
    <i>
      <x/>
    </i>
    <i t="grand">
      <x/>
    </i>
  </rowItems>
  <colItems count="1">
    <i/>
  </colItems>
  <dataFields count="1">
    <dataField name="Average of Engagement_Rate" fld="5" subtotal="average" baseField="1" baseItem="0" numFmtId="2"/>
  </dataFields>
  <formats count="1">
    <format dxfId="4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42F7F6-5AB5-435C-B1DD-379A43E8C77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latform">
  <location ref="A104:C108" firstHeaderRow="0" firstDataRow="1" firstDataCol="1"/>
  <pivotFields count="9">
    <pivotField numFmtId="164" showAll="0"/>
    <pivotField axis="axisRow" showAll="0">
      <items count="4">
        <item x="0"/>
        <item x="1"/>
        <item x="2"/>
        <item t="default"/>
      </items>
    </pivotField>
    <pivotField numFmtId="1" showAll="0"/>
    <pivotField numFmtId="1" showAll="0"/>
    <pivotField numFmtId="1" showAll="0"/>
    <pivotField dataField="1" numFmtId="2" showAll="0"/>
    <pivotField dataField="1" numFmtId="1" showAll="0"/>
    <pivotField numFmtId="1" showAll="0"/>
    <pivotField numFmtId="10" showAll="0"/>
  </pivotFields>
  <rowFields count="1">
    <field x="1"/>
  </rowFields>
  <rowItems count="4">
    <i>
      <x/>
    </i>
    <i>
      <x v="1"/>
    </i>
    <i>
      <x v="2"/>
    </i>
    <i t="grand">
      <x/>
    </i>
  </rowItems>
  <colFields count="1">
    <field x="-2"/>
  </colFields>
  <colItems count="2">
    <i>
      <x/>
    </i>
    <i i="1">
      <x v="1"/>
    </i>
  </colItems>
  <dataFields count="2">
    <dataField name="Sum of Ad_Spend" fld="6" baseField="0" baseItem="0" numFmtId="1"/>
    <dataField name="Average of Engagement_Rate" fld="5" subtotal="average" baseField="0" baseItem="0" numFmtId="2"/>
  </dataFields>
  <formats count="6">
    <format dxfId="48">
      <pivotArea type="all" dataOnly="0" outline="0" fieldPosition="0"/>
    </format>
    <format dxfId="47">
      <pivotArea outline="0" collapsedLevelsAreSubtotals="1" fieldPosition="0"/>
    </format>
    <format dxfId="46">
      <pivotArea field="1" type="button" dataOnly="0" labelOnly="1" outline="0" axis="axisRow" fieldPosition="0"/>
    </format>
    <format dxfId="45">
      <pivotArea dataOnly="0" labelOnly="1" fieldPosition="0">
        <references count="1">
          <reference field="1" count="0"/>
        </references>
      </pivotArea>
    </format>
    <format dxfId="44">
      <pivotArea dataOnly="0" labelOnly="1" grandRow="1" outline="0" fieldPosition="0"/>
    </format>
    <format dxfId="43">
      <pivotArea dataOnly="0" labelOnly="1" outline="0" fieldPosition="0">
        <references count="1">
          <reference field="4294967294" count="2">
            <x v="0"/>
            <x v="1"/>
          </reference>
        </references>
      </pivotArea>
    </format>
  </formats>
  <chartFormats count="2">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6A48EE-B343-4C0C-B140-BDE1F56FB75A}"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Hashtags">
  <location ref="A4:C10" firstHeaderRow="0" firstDataRow="1" firstDataCol="1"/>
  <pivotFields count="3">
    <pivotField axis="axisRow" dataField="1" showAll="0" sortType="descending">
      <items count="7">
        <item x="1"/>
        <item x="2"/>
        <item x="3"/>
        <item x="0"/>
        <item x="5"/>
        <item h="1" x="4"/>
        <item t="default"/>
      </items>
      <autoSortScope>
        <pivotArea dataOnly="0" outline="0" fieldPosition="0">
          <references count="1">
            <reference field="4294967294" count="1" selected="0">
              <x v="0"/>
            </reference>
          </references>
        </pivotArea>
      </autoSortScope>
    </pivotField>
    <pivotField dataField="1" numFmtId="9" showAll="0"/>
    <pivotField numFmtId="2" showAll="0"/>
  </pivotFields>
  <rowFields count="1">
    <field x="0"/>
  </rowFields>
  <rowItems count="6">
    <i>
      <x v="2"/>
    </i>
    <i>
      <x/>
    </i>
    <i>
      <x v="3"/>
    </i>
    <i>
      <x v="1"/>
    </i>
    <i>
      <x v="4"/>
    </i>
    <i t="grand">
      <x/>
    </i>
  </rowItems>
  <colFields count="1">
    <field x="-2"/>
  </colFields>
  <colItems count="2">
    <i>
      <x/>
    </i>
    <i i="1">
      <x v="1"/>
    </i>
  </colItems>
  <dataFields count="2">
    <dataField name="Count of All_Hashtags" fld="0" subtotal="count" baseField="0" baseItem="0"/>
    <dataField name="Average of Engagement Rate" fld="1" subtotal="average" baseField="0" baseItem="2" numFmtId="10"/>
  </dataFields>
  <formats count="7">
    <format dxfId="22">
      <pivotArea type="all" dataOnly="0" outline="0" fieldPosition="0"/>
    </format>
    <format dxfId="21">
      <pivotArea outline="0" collapsedLevelsAreSubtotals="1" fieldPosition="0"/>
    </format>
    <format dxfId="20">
      <pivotArea field="0" type="button" dataOnly="0" labelOnly="1" outline="0" axis="axisRow" fieldPosition="0"/>
    </format>
    <format dxfId="19">
      <pivotArea dataOnly="0" labelOnly="1" fieldPosition="0">
        <references count="1">
          <reference field="0" count="0"/>
        </references>
      </pivotArea>
    </format>
    <format dxfId="18">
      <pivotArea dataOnly="0" labelOnly="1" grandRow="1" outline="0" fieldPosition="0"/>
    </format>
    <format dxfId="17">
      <pivotArea dataOnly="0" labelOnly="1" outline="0" fieldPosition="0">
        <references count="1">
          <reference field="4294967294" count="2">
            <x v="0"/>
            <x v="1"/>
          </reference>
        </references>
      </pivotArea>
    </format>
    <format dxfId="16">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69A036-2325-477A-A337-AC328C52989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ontent Type" colHeaderCaption="Platform">
  <location ref="A28:E33" firstHeaderRow="1" firstDataRow="2" firstDataCol="1"/>
  <pivotFields count="15">
    <pivotField showAll="0"/>
    <pivotField axis="axisCol" showAll="0">
      <items count="4">
        <item x="0"/>
        <item x="1"/>
        <item x="2"/>
        <item t="default"/>
      </items>
    </pivotField>
    <pivotField numFmtId="164" showAll="0"/>
    <pivotField axis="axisRow" showAll="0">
      <items count="4">
        <item x="2"/>
        <item x="1"/>
        <item x="0"/>
        <item t="default"/>
      </items>
    </pivotField>
    <pivotField showAll="0"/>
    <pivotField numFmtId="2" showAll="0"/>
    <pivotField numFmtId="2" showAll="0"/>
    <pivotField numFmtId="2" showAll="0"/>
    <pivotField numFmtId="2" showAll="0"/>
    <pivotField numFmtId="2" showAll="0"/>
    <pivotField numFmtId="2" showAll="0"/>
    <pivotField showAll="0"/>
    <pivotField showAll="0"/>
    <pivotField showAll="0"/>
    <pivotField dataField="1" numFmtId="9" showAll="0"/>
  </pivotFields>
  <rowFields count="1">
    <field x="3"/>
  </rowFields>
  <rowItems count="4">
    <i>
      <x/>
    </i>
    <i>
      <x v="1"/>
    </i>
    <i>
      <x v="2"/>
    </i>
    <i t="grand">
      <x/>
    </i>
  </rowItems>
  <colFields count="1">
    <field x="1"/>
  </colFields>
  <colItems count="4">
    <i>
      <x/>
    </i>
    <i>
      <x v="1"/>
    </i>
    <i>
      <x v="2"/>
    </i>
    <i t="grand">
      <x/>
    </i>
  </colItems>
  <dataFields count="1">
    <dataField name="Average of Engagement Rate" fld="14" subtotal="average" baseField="0" baseItem="0" numFmtId="9"/>
  </dataFields>
  <formats count="18">
    <format dxfId="40">
      <pivotArea dataOnly="0" outline="0" fieldPosition="0">
        <references count="1">
          <reference field="1" count="1">
            <x v="1"/>
          </reference>
        </references>
      </pivotArea>
    </format>
    <format dxfId="39">
      <pivotArea outline="0" collapsedLevelsAreSubtotals="1" fieldPosition="0">
        <references count="1">
          <reference field="1" count="1" selected="0">
            <x v="0"/>
          </reference>
        </references>
      </pivotArea>
    </format>
    <format dxfId="38">
      <pivotArea dataOnly="0" labelOnly="1" fieldPosition="0">
        <references count="1">
          <reference field="1" count="1">
            <x v="0"/>
          </reference>
        </references>
      </pivotArea>
    </format>
    <format dxfId="37">
      <pivotArea field="3" type="button" dataOnly="0" labelOnly="1" outline="0" axis="axisRow" fieldPosition="0"/>
    </format>
    <format dxfId="36">
      <pivotArea dataOnly="0" labelOnly="1" fieldPosition="0">
        <references count="1">
          <reference field="3" count="0"/>
        </references>
      </pivotArea>
    </format>
    <format dxfId="35">
      <pivotArea dataOnly="0" labelOnly="1" grandRow="1" outline="0" fieldPosition="0"/>
    </format>
    <format dxfId="34">
      <pivotArea outline="0" collapsedLevelsAreSubtotals="1" fieldPosition="0">
        <references count="1">
          <reference field="1" count="1" selected="0">
            <x v="2"/>
          </reference>
        </references>
      </pivotArea>
    </format>
    <format dxfId="33">
      <pivotArea dataOnly="0" labelOnly="1" fieldPosition="0">
        <references count="1">
          <reference field="1" count="1">
            <x v="2"/>
          </reference>
        </references>
      </pivotArea>
    </format>
    <format dxfId="32">
      <pivotArea grandCol="1" outline="0" collapsedLevelsAreSubtotals="1" fieldPosition="0"/>
    </format>
    <format dxfId="31">
      <pivotArea dataOnly="0" labelOnly="1" grandCol="1" outline="0" fieldPosition="0"/>
    </format>
    <format dxfId="30">
      <pivotArea collapsedLevelsAreSubtotals="1" fieldPosition="0">
        <references count="1">
          <reference field="3" count="0"/>
        </references>
      </pivotArea>
    </format>
    <format dxfId="29">
      <pivotArea dataOnly="0" labelOnly="1" fieldPosition="0">
        <references count="1">
          <reference field="3" count="0"/>
        </references>
      </pivotArea>
    </format>
    <format dxfId="28">
      <pivotArea grandRow="1" outline="0" collapsedLevelsAreSubtotals="1" fieldPosition="0"/>
    </format>
    <format dxfId="27">
      <pivotArea dataOnly="0" labelOnly="1" grandRow="1" outline="0" fieldPosition="0"/>
    </format>
    <format dxfId="26">
      <pivotArea outline="0" collapsedLevelsAreSubtotals="1" fieldPosition="0">
        <references count="1">
          <reference field="1" count="1" selected="0">
            <x v="1"/>
          </reference>
        </references>
      </pivotArea>
    </format>
    <format dxfId="25">
      <pivotArea outline="0" collapsedLevelsAreSubtotals="1" fieldPosition="0">
        <references count="1">
          <reference field="1" count="1" selected="0">
            <x v="2"/>
          </reference>
        </references>
      </pivotArea>
    </format>
    <format dxfId="24">
      <pivotArea grandCol="1" outline="0" collapsedLevelsAreSubtotals="1" fieldPosition="0"/>
    </format>
    <format dxfId="23">
      <pivotArea outline="0" collapsedLevelsAreSubtotals="1" fieldPosition="0">
        <references count="1">
          <reference field="1" count="1" selected="0">
            <x v="0"/>
          </reference>
        </references>
      </pivotArea>
    </format>
  </format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FB2F06-A062-456E-81BA-F1FF00CD3A2E}"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Week_Start_Date">
  <location ref="A3:B71" firstHeaderRow="1" firstDataRow="1" firstDataCol="1"/>
  <pivotFields count="9">
    <pivotField axis="axisRow" numFmtId="164" showAll="0" sortType="descending">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numFmtId="1" showAll="0"/>
    <pivotField numFmtId="1" showAll="0"/>
    <pivotField numFmtId="1" showAll="0"/>
    <pivotField numFmtId="2" showAll="0"/>
    <pivotField numFmtId="1" showAll="0"/>
    <pivotField dataField="1" numFmtId="1" showAll="0"/>
    <pivotField numFmtId="10" showAll="0"/>
  </pivotFields>
  <rowFields count="1">
    <field x="0"/>
  </rowFields>
  <rowItems count="68">
    <i>
      <x v="22"/>
    </i>
    <i>
      <x v="50"/>
    </i>
    <i>
      <x/>
    </i>
    <i>
      <x v="44"/>
    </i>
    <i>
      <x v="60"/>
    </i>
    <i>
      <x v="45"/>
    </i>
    <i>
      <x v="2"/>
    </i>
    <i>
      <x v="5"/>
    </i>
    <i>
      <x v="17"/>
    </i>
    <i>
      <x v="10"/>
    </i>
    <i>
      <x v="51"/>
    </i>
    <i>
      <x v="23"/>
    </i>
    <i>
      <x v="20"/>
    </i>
    <i>
      <x v="16"/>
    </i>
    <i>
      <x v="43"/>
    </i>
    <i>
      <x v="1"/>
    </i>
    <i>
      <x v="39"/>
    </i>
    <i>
      <x v="59"/>
    </i>
    <i>
      <x v="9"/>
    </i>
    <i>
      <x v="28"/>
    </i>
    <i>
      <x v="42"/>
    </i>
    <i>
      <x v="19"/>
    </i>
    <i>
      <x v="57"/>
    </i>
    <i>
      <x v="58"/>
    </i>
    <i>
      <x v="64"/>
    </i>
    <i>
      <x v="14"/>
    </i>
    <i>
      <x v="29"/>
    </i>
    <i>
      <x v="13"/>
    </i>
    <i>
      <x v="31"/>
    </i>
    <i>
      <x v="12"/>
    </i>
    <i>
      <x v="3"/>
    </i>
    <i>
      <x v="4"/>
    </i>
    <i>
      <x v="26"/>
    </i>
    <i>
      <x v="47"/>
    </i>
    <i>
      <x v="6"/>
    </i>
    <i>
      <x v="36"/>
    </i>
    <i>
      <x v="62"/>
    </i>
    <i>
      <x v="32"/>
    </i>
    <i>
      <x v="18"/>
    </i>
    <i>
      <x v="30"/>
    </i>
    <i>
      <x v="40"/>
    </i>
    <i>
      <x v="56"/>
    </i>
    <i>
      <x v="11"/>
    </i>
    <i>
      <x v="25"/>
    </i>
    <i>
      <x v="7"/>
    </i>
    <i>
      <x v="53"/>
    </i>
    <i>
      <x v="41"/>
    </i>
    <i>
      <x v="21"/>
    </i>
    <i>
      <x v="15"/>
    </i>
    <i>
      <x v="8"/>
    </i>
    <i>
      <x v="48"/>
    </i>
    <i>
      <x v="52"/>
    </i>
    <i>
      <x v="54"/>
    </i>
    <i>
      <x v="24"/>
    </i>
    <i>
      <x v="34"/>
    </i>
    <i>
      <x v="33"/>
    </i>
    <i>
      <x v="63"/>
    </i>
    <i>
      <x v="46"/>
    </i>
    <i>
      <x v="38"/>
    </i>
    <i>
      <x v="61"/>
    </i>
    <i>
      <x v="35"/>
    </i>
    <i>
      <x v="37"/>
    </i>
    <i>
      <x v="66"/>
    </i>
    <i>
      <x v="65"/>
    </i>
    <i>
      <x v="49"/>
    </i>
    <i>
      <x v="27"/>
    </i>
    <i>
      <x v="55"/>
    </i>
    <i t="grand">
      <x/>
    </i>
  </rowItems>
  <colItems count="1">
    <i/>
  </colItems>
  <dataFields count="1">
    <dataField name="Sum of Net Follower Gain" fld="7" baseField="0" baseItem="0" numFmtId="1"/>
  </dataFields>
  <formats count="7">
    <format dxfId="7">
      <pivotArea dataOnly="0" fieldPosition="0">
        <references count="1">
          <reference field="0" count="0"/>
        </references>
      </pivotArea>
    </format>
    <format dxfId="6">
      <pivotArea collapsedLevelsAreSubtotals="1" fieldPosition="0">
        <references count="1">
          <reference field="0" count="1">
            <x v="22"/>
          </reference>
        </references>
      </pivotArea>
    </format>
    <format dxfId="5">
      <pivotArea dataOnly="0" labelOnly="1" fieldPosition="0">
        <references count="1">
          <reference field="0" count="1">
            <x v="22"/>
          </reference>
        </references>
      </pivotArea>
    </format>
    <format dxfId="4">
      <pivotArea collapsedLevelsAreSubtotals="1" fieldPosition="0">
        <references count="1">
          <reference field="0" count="1">
            <x v="22"/>
          </reference>
        </references>
      </pivotArea>
    </format>
    <format dxfId="3">
      <pivotArea dataOnly="0" labelOnly="1" fieldPosition="0">
        <references count="1">
          <reference field="0" count="1">
            <x v="22"/>
          </reference>
        </references>
      </pivotArea>
    </format>
    <format dxfId="2">
      <pivotArea collapsedLevelsAreSubtotals="1" fieldPosition="0">
        <references count="1">
          <reference field="0" count="1">
            <x v="22"/>
          </reference>
        </references>
      </pivotArea>
    </format>
    <format dxfId="1">
      <pivotArea dataOnly="0" labelOnly="1" fieldPosition="0">
        <references count="1">
          <reference field="0" count="1">
            <x v="22"/>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D565AE9-AF8C-4A51-9322-BFB8594825B5}" autoFormatId="16" applyNumberFormats="0" applyBorderFormats="0" applyFontFormats="0" applyPatternFormats="0" applyAlignmentFormats="0" applyWidthHeightFormats="0">
  <queryTableRefresh nextId="9" unboundColumnsRight="1">
    <queryTableFields count="8">
      <queryTableField id="1" name="Campaign_Name" tableColumnId="1"/>
      <queryTableField id="2" name="Start_Date" tableColumnId="2"/>
      <queryTableField id="3" name="End_Date" tableColumnId="3"/>
      <queryTableField id="4" name="Objective" tableColumnId="4"/>
      <queryTableField id="5" name="Total_Budget" tableColumnId="5"/>
      <queryTableField id="6" name="Target_Platforms" tableColumnId="6"/>
      <queryTableField id="7" name="Primary_Hashtags" tableColumnId="7"/>
      <queryTableField id="8" dataBound="0"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66D51B-2F5B-4EDC-9ABA-60600A88863C}" name="Campaign_Metadata" displayName="Campaign_Metadata" ref="A1:H5" tableType="queryTable" totalsRowShown="0">
  <sortState xmlns:xlrd2="http://schemas.microsoft.com/office/spreadsheetml/2017/richdata2" ref="A2:G5">
    <sortCondition ref="A2:A5"/>
  </sortState>
  <tableColumns count="8">
    <tableColumn id="1" xr3:uid="{C677B76F-5765-4C5C-8EA9-82F6DB7692AE}" uniqueName="1" name="Campaign_Name" queryTableFieldId="1" dataDxfId="15"/>
    <tableColumn id="2" xr3:uid="{4D4E70E4-DC42-4A5B-A162-331178027EA1}" uniqueName="2" name="Start_Date" queryTableFieldId="2" dataDxfId="14"/>
    <tableColumn id="3" xr3:uid="{21FB9918-6FBA-465A-BD67-BBC3699FA89D}" uniqueName="3" name="End_Date" queryTableFieldId="3" dataDxfId="13"/>
    <tableColumn id="4" xr3:uid="{0681DFBE-1F8F-468E-B09C-2139DD90C652}" uniqueName="4" name="Objective" queryTableFieldId="4" dataDxfId="12"/>
    <tableColumn id="5" xr3:uid="{38EB7E83-D823-4734-BD45-54A647AFFC82}" uniqueName="5" name="Total_Budget" queryTableFieldId="5" dataDxfId="11"/>
    <tableColumn id="6" xr3:uid="{F1C3BFE8-8667-4EE3-9A4A-0D7FEE84180C}" uniqueName="6" name="Target_Platforms" queryTableFieldId="6" dataDxfId="10"/>
    <tableColumn id="7" xr3:uid="{AACF4D1F-04CA-4B2C-AB26-741BF43DC15B}" uniqueName="7" name="Primary_Hashtag_1" queryTableFieldId="7" dataDxfId="9"/>
    <tableColumn id="8" xr3:uid="{7D3FC54B-EDF1-4D16-A3FC-246AB552EC0E}" uniqueName="8" name="Primary_Hashtag_2" queryTableFieldId="8"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2DE03-B62E-4044-9790-D6D53D799A06}">
  <sheetPr codeName="Sheet1"/>
  <dimension ref="A1:Q301"/>
  <sheetViews>
    <sheetView topLeftCell="H1" zoomScaleNormal="89" workbookViewId="0">
      <selection activeCell="O6" sqref="O6"/>
    </sheetView>
  </sheetViews>
  <sheetFormatPr defaultRowHeight="14.4" x14ac:dyDescent="0.3"/>
  <cols>
    <col min="1" max="1" width="9" style="2" bestFit="1" customWidth="1"/>
    <col min="2" max="2" width="10.44140625" bestFit="1" customWidth="1"/>
    <col min="3" max="3" width="10.33203125" style="1" bestFit="1" customWidth="1"/>
    <col min="4" max="4" width="14" bestFit="1" customWidth="1"/>
    <col min="5" max="5" width="36.5546875" bestFit="1" customWidth="1"/>
    <col min="6" max="6" width="7.5546875" style="4" bestFit="1" customWidth="1"/>
    <col min="7" max="7" width="8.88671875" style="4"/>
    <col min="8" max="8" width="12.33203125" style="4" bestFit="1" customWidth="1"/>
    <col min="9" max="9" width="13.44140625" style="4" bestFit="1" customWidth="1"/>
    <col min="10" max="10" width="8.5546875" style="4" bestFit="1" customWidth="1"/>
    <col min="11" max="11" width="8.44140625" style="4" bestFit="1" customWidth="1"/>
    <col min="12" max="12" width="31.5546875" style="2" customWidth="1"/>
    <col min="13" max="13" width="25.33203125" style="2" customWidth="1"/>
    <col min="14" max="14" width="17.5546875" style="2" bestFit="1" customWidth="1"/>
    <col min="15" max="15" width="17.5546875" style="2" customWidth="1"/>
    <col min="16" max="16" width="17.21875" style="5" bestFit="1" customWidth="1"/>
  </cols>
  <sheetData>
    <row r="1" spans="1:17" x14ac:dyDescent="0.3">
      <c r="A1" s="37" t="s">
        <v>0</v>
      </c>
      <c r="B1" s="38" t="s">
        <v>1</v>
      </c>
      <c r="C1" s="39" t="s">
        <v>2</v>
      </c>
      <c r="D1" s="38" t="s">
        <v>3</v>
      </c>
      <c r="E1" s="38" t="s">
        <v>4</v>
      </c>
      <c r="F1" s="112" t="s">
        <v>5</v>
      </c>
      <c r="G1" s="112" t="s">
        <v>6</v>
      </c>
      <c r="H1" s="112" t="s">
        <v>7</v>
      </c>
      <c r="I1" s="112" t="s">
        <v>8</v>
      </c>
      <c r="J1" s="112" t="s">
        <v>9</v>
      </c>
      <c r="K1" s="112" t="s">
        <v>10</v>
      </c>
      <c r="L1" s="38" t="s">
        <v>335</v>
      </c>
      <c r="M1" s="38" t="s">
        <v>336</v>
      </c>
      <c r="N1" s="38" t="s">
        <v>11</v>
      </c>
      <c r="O1" s="40" t="s">
        <v>345</v>
      </c>
      <c r="P1" s="6"/>
    </row>
    <row r="2" spans="1:17" x14ac:dyDescent="0.3">
      <c r="A2" s="41" t="s">
        <v>12</v>
      </c>
      <c r="B2" s="42" t="s">
        <v>13</v>
      </c>
      <c r="C2" s="43">
        <v>45781</v>
      </c>
      <c r="D2" s="42" t="s">
        <v>14</v>
      </c>
      <c r="E2" s="42" t="s">
        <v>15</v>
      </c>
      <c r="F2" s="113">
        <v>2414</v>
      </c>
      <c r="G2" s="113">
        <v>245</v>
      </c>
      <c r="H2" s="113">
        <v>137</v>
      </c>
      <c r="I2" s="113">
        <v>21181</v>
      </c>
      <c r="J2" s="113">
        <v>45292</v>
      </c>
      <c r="K2" s="113">
        <v>133</v>
      </c>
      <c r="L2" s="42" t="s">
        <v>40</v>
      </c>
      <c r="M2" s="42" t="s">
        <v>37</v>
      </c>
      <c r="N2" s="42" t="s">
        <v>16</v>
      </c>
      <c r="O2" s="83">
        <v>0.13200509890939999</v>
      </c>
    </row>
    <row r="3" spans="1:17" x14ac:dyDescent="0.3">
      <c r="A3" s="41" t="s">
        <v>17</v>
      </c>
      <c r="B3" s="42" t="s">
        <v>13</v>
      </c>
      <c r="C3" s="43">
        <v>45689</v>
      </c>
      <c r="D3" s="42" t="s">
        <v>14</v>
      </c>
      <c r="E3" s="42" t="s">
        <v>18</v>
      </c>
      <c r="F3" s="113">
        <v>1934</v>
      </c>
      <c r="G3" s="113">
        <v>210</v>
      </c>
      <c r="H3" s="113">
        <v>393</v>
      </c>
      <c r="I3" s="113">
        <v>29129</v>
      </c>
      <c r="J3" s="113">
        <v>73287</v>
      </c>
      <c r="K3" s="113">
        <v>273</v>
      </c>
      <c r="L3" s="42" t="s">
        <v>19</v>
      </c>
      <c r="M3" s="42"/>
      <c r="N3" s="42" t="s">
        <v>20</v>
      </c>
      <c r="O3" s="83">
        <v>8.7095334546328396E-2</v>
      </c>
    </row>
    <row r="4" spans="1:17" x14ac:dyDescent="0.3">
      <c r="A4" s="44" t="s">
        <v>21</v>
      </c>
      <c r="B4" s="45" t="s">
        <v>22</v>
      </c>
      <c r="C4" s="46">
        <v>45629</v>
      </c>
      <c r="D4" s="45" t="s">
        <v>23</v>
      </c>
      <c r="E4" s="45" t="s">
        <v>24</v>
      </c>
      <c r="F4" s="114">
        <v>3092</v>
      </c>
      <c r="G4" s="114">
        <v>177</v>
      </c>
      <c r="H4" s="114">
        <v>81</v>
      </c>
      <c r="I4" s="114">
        <v>47533</v>
      </c>
      <c r="J4" s="114">
        <v>29220</v>
      </c>
      <c r="K4" s="114">
        <v>121</v>
      </c>
      <c r="L4" s="45" t="s">
        <v>337</v>
      </c>
      <c r="M4" s="45" t="s">
        <v>37</v>
      </c>
      <c r="N4" s="45" t="s">
        <v>16</v>
      </c>
      <c r="O4" s="84">
        <v>7.0477352576105018E-2</v>
      </c>
    </row>
    <row r="5" spans="1:17" x14ac:dyDescent="0.3">
      <c r="A5" s="44" t="s">
        <v>25</v>
      </c>
      <c r="B5" s="45" t="s">
        <v>13</v>
      </c>
      <c r="C5" s="46">
        <v>45629</v>
      </c>
      <c r="D5" s="45" t="s">
        <v>14</v>
      </c>
      <c r="E5" s="45" t="s">
        <v>26</v>
      </c>
      <c r="F5" s="114">
        <v>3173</v>
      </c>
      <c r="G5" s="114">
        <v>229</v>
      </c>
      <c r="H5" s="114">
        <v>197</v>
      </c>
      <c r="I5" s="114">
        <v>29604</v>
      </c>
      <c r="J5" s="114">
        <v>21809</v>
      </c>
      <c r="K5" s="114">
        <v>272</v>
      </c>
      <c r="L5" s="45" t="s">
        <v>40</v>
      </c>
      <c r="M5" s="45" t="s">
        <v>37</v>
      </c>
      <c r="N5" s="45" t="s">
        <v>16</v>
      </c>
      <c r="O5" s="84">
        <v>0.1215714092690177</v>
      </c>
      <c r="Q5" s="14"/>
    </row>
    <row r="6" spans="1:17" x14ac:dyDescent="0.3">
      <c r="A6" s="44" t="s">
        <v>27</v>
      </c>
      <c r="B6" s="45" t="s">
        <v>28</v>
      </c>
      <c r="C6" s="46">
        <v>45388</v>
      </c>
      <c r="D6" s="45" t="s">
        <v>14</v>
      </c>
      <c r="E6" s="45" t="s">
        <v>29</v>
      </c>
      <c r="F6" s="114">
        <v>2748</v>
      </c>
      <c r="G6" s="114">
        <v>145</v>
      </c>
      <c r="H6" s="114">
        <v>315</v>
      </c>
      <c r="I6" s="114">
        <v>24401</v>
      </c>
      <c r="J6" s="114">
        <v>61182</v>
      </c>
      <c r="K6" s="114">
        <v>200</v>
      </c>
      <c r="L6" s="45" t="s">
        <v>19</v>
      </c>
      <c r="M6" s="45" t="s">
        <v>338</v>
      </c>
      <c r="N6" s="45" t="s">
        <v>20</v>
      </c>
      <c r="O6" s="84">
        <v>0.1314700217204213</v>
      </c>
    </row>
    <row r="7" spans="1:17" x14ac:dyDescent="0.3">
      <c r="A7" s="44" t="s">
        <v>30</v>
      </c>
      <c r="B7" s="45" t="s">
        <v>28</v>
      </c>
      <c r="C7" s="46">
        <v>45456</v>
      </c>
      <c r="D7" s="45" t="s">
        <v>14</v>
      </c>
      <c r="E7" s="45" t="s">
        <v>31</v>
      </c>
      <c r="F7" s="114">
        <v>3882</v>
      </c>
      <c r="G7" s="114">
        <v>239</v>
      </c>
      <c r="H7" s="114">
        <v>275</v>
      </c>
      <c r="I7" s="114">
        <v>58748</v>
      </c>
      <c r="J7" s="114">
        <v>44646</v>
      </c>
      <c r="K7" s="114">
        <v>149</v>
      </c>
      <c r="L7" s="45" t="s">
        <v>19</v>
      </c>
      <c r="M7" s="45" t="s">
        <v>338</v>
      </c>
      <c r="N7" s="45" t="s">
        <v>20</v>
      </c>
      <c r="O7" s="84">
        <v>7.4828079253761837E-2</v>
      </c>
    </row>
    <row r="8" spans="1:17" x14ac:dyDescent="0.3">
      <c r="A8" s="41" t="s">
        <v>32</v>
      </c>
      <c r="B8" s="42" t="s">
        <v>22</v>
      </c>
      <c r="C8" s="43">
        <v>45645</v>
      </c>
      <c r="D8" s="42" t="s">
        <v>23</v>
      </c>
      <c r="E8" s="42" t="s">
        <v>33</v>
      </c>
      <c r="F8" s="113">
        <v>4674</v>
      </c>
      <c r="G8" s="113">
        <v>409</v>
      </c>
      <c r="H8" s="113">
        <v>327</v>
      </c>
      <c r="I8" s="113">
        <v>20756</v>
      </c>
      <c r="J8" s="113">
        <v>63599</v>
      </c>
      <c r="K8" s="113">
        <v>212</v>
      </c>
      <c r="L8" s="42" t="s">
        <v>40</v>
      </c>
      <c r="M8" s="42" t="s">
        <v>37</v>
      </c>
      <c r="N8" s="42" t="s">
        <v>16</v>
      </c>
      <c r="O8" s="83">
        <v>0.26064752360763155</v>
      </c>
    </row>
    <row r="9" spans="1:17" x14ac:dyDescent="0.3">
      <c r="A9" s="44" t="s">
        <v>34</v>
      </c>
      <c r="B9" s="45" t="s">
        <v>22</v>
      </c>
      <c r="C9" s="46">
        <v>45421</v>
      </c>
      <c r="D9" s="45" t="s">
        <v>23</v>
      </c>
      <c r="E9" s="45" t="s">
        <v>26</v>
      </c>
      <c r="F9" s="114">
        <v>1428</v>
      </c>
      <c r="G9" s="114">
        <v>347</v>
      </c>
      <c r="H9" s="114">
        <v>67</v>
      </c>
      <c r="I9" s="114">
        <v>21148</v>
      </c>
      <c r="J9" s="114">
        <v>19712</v>
      </c>
      <c r="K9" s="114">
        <v>120</v>
      </c>
      <c r="L9" s="45" t="s">
        <v>19</v>
      </c>
      <c r="M9" s="45" t="s">
        <v>337</v>
      </c>
      <c r="N9" s="45" t="s">
        <v>16</v>
      </c>
      <c r="O9" s="84">
        <v>8.7100435029317191E-2</v>
      </c>
    </row>
    <row r="10" spans="1:17" x14ac:dyDescent="0.3">
      <c r="A10" s="44" t="s">
        <v>35</v>
      </c>
      <c r="B10" s="45" t="s">
        <v>22</v>
      </c>
      <c r="C10" s="46">
        <v>45823</v>
      </c>
      <c r="D10" s="45" t="s">
        <v>14</v>
      </c>
      <c r="E10" s="45" t="s">
        <v>36</v>
      </c>
      <c r="F10" s="114">
        <v>4432</v>
      </c>
      <c r="G10" s="114">
        <v>223</v>
      </c>
      <c r="H10" s="114">
        <v>299</v>
      </c>
      <c r="I10" s="114">
        <v>59016</v>
      </c>
      <c r="J10" s="114">
        <v>21742</v>
      </c>
      <c r="K10" s="114">
        <v>171</v>
      </c>
      <c r="L10" s="45" t="s">
        <v>37</v>
      </c>
      <c r="M10" s="45"/>
      <c r="N10" s="45" t="s">
        <v>16</v>
      </c>
      <c r="O10" s="84">
        <v>8.3943337400027115E-2</v>
      </c>
    </row>
    <row r="11" spans="1:17" x14ac:dyDescent="0.3">
      <c r="A11" s="44" t="s">
        <v>38</v>
      </c>
      <c r="B11" s="45" t="s">
        <v>22</v>
      </c>
      <c r="C11" s="46">
        <v>45630</v>
      </c>
      <c r="D11" s="45" t="s">
        <v>14</v>
      </c>
      <c r="E11" s="45" t="s">
        <v>26</v>
      </c>
      <c r="F11" s="114">
        <v>2357</v>
      </c>
      <c r="G11" s="114">
        <v>274</v>
      </c>
      <c r="H11" s="114">
        <v>172</v>
      </c>
      <c r="I11" s="114">
        <v>21566</v>
      </c>
      <c r="J11" s="114">
        <v>66829</v>
      </c>
      <c r="K11" s="114">
        <v>284</v>
      </c>
      <c r="L11" s="45" t="s">
        <v>37</v>
      </c>
      <c r="M11" s="45"/>
      <c r="N11" s="45" t="s">
        <v>16</v>
      </c>
      <c r="O11" s="84">
        <v>0.12997310581470833</v>
      </c>
    </row>
    <row r="12" spans="1:17" x14ac:dyDescent="0.3">
      <c r="A12" s="44" t="s">
        <v>39</v>
      </c>
      <c r="B12" s="45" t="s">
        <v>22</v>
      </c>
      <c r="C12" s="46">
        <v>45357</v>
      </c>
      <c r="D12" s="45" t="s">
        <v>14</v>
      </c>
      <c r="E12" s="45" t="s">
        <v>15</v>
      </c>
      <c r="F12" s="114">
        <v>1971</v>
      </c>
      <c r="G12" s="114">
        <v>370</v>
      </c>
      <c r="H12" s="114">
        <v>306</v>
      </c>
      <c r="I12" s="114">
        <v>31316</v>
      </c>
      <c r="J12" s="114">
        <v>27897</v>
      </c>
      <c r="K12" s="114">
        <v>88</v>
      </c>
      <c r="L12" s="45" t="s">
        <v>40</v>
      </c>
      <c r="M12" s="45"/>
      <c r="N12" s="45" t="s">
        <v>20</v>
      </c>
      <c r="O12" s="84">
        <v>8.4525482181632389E-2</v>
      </c>
    </row>
    <row r="13" spans="1:17" x14ac:dyDescent="0.3">
      <c r="A13" s="41" t="s">
        <v>41</v>
      </c>
      <c r="B13" s="42" t="s">
        <v>13</v>
      </c>
      <c r="C13" s="43">
        <v>45426</v>
      </c>
      <c r="D13" s="42" t="s">
        <v>14</v>
      </c>
      <c r="E13" s="42" t="s">
        <v>15</v>
      </c>
      <c r="F13" s="113">
        <v>1485</v>
      </c>
      <c r="G13" s="113">
        <v>353</v>
      </c>
      <c r="H13" s="113">
        <v>244</v>
      </c>
      <c r="I13" s="113">
        <v>38419</v>
      </c>
      <c r="J13" s="113">
        <v>38556</v>
      </c>
      <c r="K13" s="113">
        <v>86</v>
      </c>
      <c r="L13" s="42" t="s">
        <v>40</v>
      </c>
      <c r="M13" s="42" t="s">
        <v>37</v>
      </c>
      <c r="N13" s="42" t="s">
        <v>16</v>
      </c>
      <c r="O13" s="83">
        <v>5.4191936281527367E-2</v>
      </c>
    </row>
    <row r="14" spans="1:17" x14ac:dyDescent="0.3">
      <c r="A14" s="41" t="s">
        <v>42</v>
      </c>
      <c r="B14" s="42" t="s">
        <v>22</v>
      </c>
      <c r="C14" s="43">
        <v>45826</v>
      </c>
      <c r="D14" s="42" t="s">
        <v>23</v>
      </c>
      <c r="E14" s="42" t="s">
        <v>15</v>
      </c>
      <c r="F14" s="113">
        <v>3956</v>
      </c>
      <c r="G14" s="113">
        <v>319</v>
      </c>
      <c r="H14" s="113">
        <v>61</v>
      </c>
      <c r="I14" s="113">
        <v>58162</v>
      </c>
      <c r="J14" s="113">
        <v>28720</v>
      </c>
      <c r="K14" s="113">
        <v>213</v>
      </c>
      <c r="L14" s="42" t="s">
        <v>337</v>
      </c>
      <c r="M14" s="42" t="s">
        <v>37</v>
      </c>
      <c r="N14" s="42" t="s">
        <v>16</v>
      </c>
      <c r="O14" s="83">
        <v>7.4550393727863554E-2</v>
      </c>
    </row>
    <row r="15" spans="1:17" x14ac:dyDescent="0.3">
      <c r="A15" s="41" t="s">
        <v>43</v>
      </c>
      <c r="B15" s="42" t="s">
        <v>22</v>
      </c>
      <c r="C15" s="43">
        <v>45573</v>
      </c>
      <c r="D15" s="42" t="s">
        <v>14</v>
      </c>
      <c r="E15" s="42" t="s">
        <v>44</v>
      </c>
      <c r="F15" s="113">
        <v>2460</v>
      </c>
      <c r="G15" s="113">
        <v>409</v>
      </c>
      <c r="H15" s="113">
        <v>253</v>
      </c>
      <c r="I15" s="113">
        <v>36702</v>
      </c>
      <c r="J15" s="113">
        <v>46122</v>
      </c>
      <c r="K15" s="113">
        <v>264</v>
      </c>
      <c r="L15" s="42" t="s">
        <v>37</v>
      </c>
      <c r="M15" s="42"/>
      <c r="N15" s="42" t="s">
        <v>16</v>
      </c>
      <c r="O15" s="83">
        <v>8.5063484278785892E-2</v>
      </c>
    </row>
    <row r="16" spans="1:17" x14ac:dyDescent="0.3">
      <c r="A16" s="41" t="s">
        <v>45</v>
      </c>
      <c r="B16" s="42" t="s">
        <v>22</v>
      </c>
      <c r="C16" s="43">
        <v>45418</v>
      </c>
      <c r="D16" s="42" t="s">
        <v>14</v>
      </c>
      <c r="E16" s="42" t="s">
        <v>46</v>
      </c>
      <c r="F16" s="113">
        <v>3476</v>
      </c>
      <c r="G16" s="113">
        <v>355</v>
      </c>
      <c r="H16" s="113">
        <v>396</v>
      </c>
      <c r="I16" s="113">
        <v>37492</v>
      </c>
      <c r="J16" s="113">
        <v>27285</v>
      </c>
      <c r="K16" s="113">
        <v>179</v>
      </c>
      <c r="L16" s="42" t="s">
        <v>37</v>
      </c>
      <c r="M16" s="42"/>
      <c r="N16" s="42" t="s">
        <v>16</v>
      </c>
      <c r="O16" s="83">
        <v>0.11274405206444041</v>
      </c>
    </row>
    <row r="17" spans="1:15" x14ac:dyDescent="0.3">
      <c r="A17" s="41" t="s">
        <v>47</v>
      </c>
      <c r="B17" s="42" t="s">
        <v>22</v>
      </c>
      <c r="C17" s="43">
        <v>45655</v>
      </c>
      <c r="D17" s="42" t="s">
        <v>23</v>
      </c>
      <c r="E17" s="42" t="s">
        <v>24</v>
      </c>
      <c r="F17" s="113">
        <v>4049</v>
      </c>
      <c r="G17" s="113">
        <v>377</v>
      </c>
      <c r="H17" s="113">
        <v>94</v>
      </c>
      <c r="I17" s="113">
        <v>48182</v>
      </c>
      <c r="J17" s="113">
        <v>42875</v>
      </c>
      <c r="K17" s="113">
        <v>172</v>
      </c>
      <c r="L17" s="42" t="s">
        <v>337</v>
      </c>
      <c r="M17" s="42" t="s">
        <v>37</v>
      </c>
      <c r="N17" s="42" t="s">
        <v>16</v>
      </c>
      <c r="O17" s="83">
        <v>9.3810966751068869E-2</v>
      </c>
    </row>
    <row r="18" spans="1:15" x14ac:dyDescent="0.3">
      <c r="A18" s="41" t="s">
        <v>48</v>
      </c>
      <c r="B18" s="42" t="s">
        <v>22</v>
      </c>
      <c r="C18" s="43">
        <v>45453</v>
      </c>
      <c r="D18" s="42" t="s">
        <v>14</v>
      </c>
      <c r="E18" s="42" t="s">
        <v>31</v>
      </c>
      <c r="F18" s="113">
        <v>1514</v>
      </c>
      <c r="G18" s="113">
        <v>164</v>
      </c>
      <c r="H18" s="113">
        <v>275</v>
      </c>
      <c r="I18" s="113">
        <v>41364</v>
      </c>
      <c r="J18" s="113">
        <v>44389</v>
      </c>
      <c r="K18" s="113">
        <v>83</v>
      </c>
      <c r="L18" s="42" t="s">
        <v>37</v>
      </c>
      <c r="M18" s="42"/>
      <c r="N18" s="42" t="s">
        <v>16</v>
      </c>
      <c r="O18" s="83">
        <v>4.7214969538729328E-2</v>
      </c>
    </row>
    <row r="19" spans="1:15" x14ac:dyDescent="0.3">
      <c r="A19" s="44" t="s">
        <v>49</v>
      </c>
      <c r="B19" s="45" t="s">
        <v>13</v>
      </c>
      <c r="C19" s="46">
        <v>45325</v>
      </c>
      <c r="D19" s="45" t="s">
        <v>23</v>
      </c>
      <c r="E19" s="45" t="s">
        <v>29</v>
      </c>
      <c r="F19" s="114">
        <v>4281</v>
      </c>
      <c r="G19" s="114">
        <v>101</v>
      </c>
      <c r="H19" s="114">
        <v>163</v>
      </c>
      <c r="I19" s="114">
        <v>32278</v>
      </c>
      <c r="J19" s="114">
        <v>53382</v>
      </c>
      <c r="K19" s="114">
        <v>235</v>
      </c>
      <c r="L19" s="45" t="s">
        <v>37</v>
      </c>
      <c r="M19" s="45"/>
      <c r="N19" s="45" t="s">
        <v>50</v>
      </c>
      <c r="O19" s="84">
        <v>0.1408079806679472</v>
      </c>
    </row>
    <row r="20" spans="1:15" x14ac:dyDescent="0.3">
      <c r="A20" s="41" t="s">
        <v>51</v>
      </c>
      <c r="B20" s="42" t="s">
        <v>28</v>
      </c>
      <c r="C20" s="43">
        <v>45458</v>
      </c>
      <c r="D20" s="42" t="s">
        <v>52</v>
      </c>
      <c r="E20" s="42" t="s">
        <v>33</v>
      </c>
      <c r="F20" s="113">
        <v>1751</v>
      </c>
      <c r="G20" s="113">
        <v>143</v>
      </c>
      <c r="H20" s="113">
        <v>151</v>
      </c>
      <c r="I20" s="113">
        <v>31826</v>
      </c>
      <c r="J20" s="113">
        <v>47729</v>
      </c>
      <c r="K20" s="113">
        <v>95</v>
      </c>
      <c r="L20" s="42" t="s">
        <v>19</v>
      </c>
      <c r="M20" s="42" t="s">
        <v>40</v>
      </c>
      <c r="N20" s="42" t="s">
        <v>53</v>
      </c>
      <c r="O20" s="83">
        <v>6.4255640042732362E-2</v>
      </c>
    </row>
    <row r="21" spans="1:15" x14ac:dyDescent="0.3">
      <c r="A21" s="41" t="s">
        <v>54</v>
      </c>
      <c r="B21" s="42" t="s">
        <v>13</v>
      </c>
      <c r="C21" s="43">
        <v>45478</v>
      </c>
      <c r="D21" s="42" t="s">
        <v>14</v>
      </c>
      <c r="E21" s="42" t="s">
        <v>46</v>
      </c>
      <c r="F21" s="113">
        <v>3753</v>
      </c>
      <c r="G21" s="113">
        <v>411</v>
      </c>
      <c r="H21" s="113">
        <v>308</v>
      </c>
      <c r="I21" s="113">
        <v>29138</v>
      </c>
      <c r="J21" s="113">
        <v>27678</v>
      </c>
      <c r="K21" s="113">
        <v>90</v>
      </c>
      <c r="L21" s="42" t="s">
        <v>19</v>
      </c>
      <c r="M21" s="42"/>
      <c r="N21" s="42" t="s">
        <v>20</v>
      </c>
      <c r="O21" s="83">
        <v>0.15347655981879332</v>
      </c>
    </row>
    <row r="22" spans="1:15" x14ac:dyDescent="0.3">
      <c r="A22" s="41" t="s">
        <v>55</v>
      </c>
      <c r="B22" s="42" t="s">
        <v>13</v>
      </c>
      <c r="C22" s="43">
        <v>45603</v>
      </c>
      <c r="D22" s="42" t="s">
        <v>23</v>
      </c>
      <c r="E22" s="42" t="s">
        <v>26</v>
      </c>
      <c r="F22" s="113">
        <v>1678</v>
      </c>
      <c r="G22" s="113">
        <v>423</v>
      </c>
      <c r="H22" s="113">
        <v>323</v>
      </c>
      <c r="I22" s="113">
        <v>55668</v>
      </c>
      <c r="J22" s="113">
        <v>37945</v>
      </c>
      <c r="K22" s="113">
        <v>230</v>
      </c>
      <c r="L22" s="42" t="s">
        <v>37</v>
      </c>
      <c r="M22" s="42"/>
      <c r="N22" s="42" t="s">
        <v>50</v>
      </c>
      <c r="O22" s="83">
        <v>4.3543867212761371E-2</v>
      </c>
    </row>
    <row r="23" spans="1:15" x14ac:dyDescent="0.3">
      <c r="A23" s="44" t="s">
        <v>56</v>
      </c>
      <c r="B23" s="45" t="s">
        <v>13</v>
      </c>
      <c r="C23" s="46">
        <v>45823</v>
      </c>
      <c r="D23" s="45" t="s">
        <v>14</v>
      </c>
      <c r="E23" s="45" t="s">
        <v>31</v>
      </c>
      <c r="F23" s="114">
        <v>4896</v>
      </c>
      <c r="G23" s="114">
        <v>466</v>
      </c>
      <c r="H23" s="114">
        <v>233</v>
      </c>
      <c r="I23" s="114">
        <v>28621</v>
      </c>
      <c r="J23" s="114">
        <v>34270</v>
      </c>
      <c r="K23" s="114">
        <v>84</v>
      </c>
      <c r="L23" s="45" t="s">
        <v>40</v>
      </c>
      <c r="M23" s="45" t="s">
        <v>37</v>
      </c>
      <c r="N23" s="45" t="s">
        <v>16</v>
      </c>
      <c r="O23" s="84">
        <v>0.19548583208133888</v>
      </c>
    </row>
    <row r="24" spans="1:15" x14ac:dyDescent="0.3">
      <c r="A24" s="44" t="s">
        <v>57</v>
      </c>
      <c r="B24" s="45" t="s">
        <v>28</v>
      </c>
      <c r="C24" s="46">
        <v>45452</v>
      </c>
      <c r="D24" s="45" t="s">
        <v>52</v>
      </c>
      <c r="E24" s="45" t="s">
        <v>44</v>
      </c>
      <c r="F24" s="114">
        <v>2786</v>
      </c>
      <c r="G24" s="114">
        <v>368</v>
      </c>
      <c r="H24" s="114">
        <v>208</v>
      </c>
      <c r="I24" s="114">
        <v>42000</v>
      </c>
      <c r="J24" s="114">
        <v>39967</v>
      </c>
      <c r="K24" s="114">
        <v>103</v>
      </c>
      <c r="L24" s="45" t="s">
        <v>19</v>
      </c>
      <c r="M24" s="45" t="s">
        <v>40</v>
      </c>
      <c r="N24" s="45" t="s">
        <v>53</v>
      </c>
      <c r="O24" s="84">
        <v>8.0047619047619048E-2</v>
      </c>
    </row>
    <row r="25" spans="1:15" x14ac:dyDescent="0.3">
      <c r="A25" s="41" t="s">
        <v>58</v>
      </c>
      <c r="B25" s="42" t="s">
        <v>22</v>
      </c>
      <c r="C25" s="43">
        <v>45583</v>
      </c>
      <c r="D25" s="42" t="s">
        <v>14</v>
      </c>
      <c r="E25" s="42" t="s">
        <v>24</v>
      </c>
      <c r="F25" s="113">
        <v>2607</v>
      </c>
      <c r="G25" s="113">
        <v>379</v>
      </c>
      <c r="H25" s="113">
        <v>180</v>
      </c>
      <c r="I25" s="113">
        <v>28712</v>
      </c>
      <c r="J25" s="113">
        <v>61620</v>
      </c>
      <c r="K25" s="113">
        <v>174</v>
      </c>
      <c r="L25" s="42" t="s">
        <v>40</v>
      </c>
      <c r="M25" s="42"/>
      <c r="N25" s="42" t="s">
        <v>20</v>
      </c>
      <c r="O25" s="83">
        <v>0.11026748397882419</v>
      </c>
    </row>
    <row r="26" spans="1:15" x14ac:dyDescent="0.3">
      <c r="A26" s="44" t="s">
        <v>59</v>
      </c>
      <c r="B26" s="45" t="s">
        <v>28</v>
      </c>
      <c r="C26" s="46">
        <v>45575</v>
      </c>
      <c r="D26" s="45" t="s">
        <v>52</v>
      </c>
      <c r="E26" s="45" t="s">
        <v>44</v>
      </c>
      <c r="F26" s="114">
        <v>4013</v>
      </c>
      <c r="G26" s="114">
        <v>320</v>
      </c>
      <c r="H26" s="114">
        <v>92</v>
      </c>
      <c r="I26" s="114">
        <v>54605</v>
      </c>
      <c r="J26" s="114">
        <v>60169</v>
      </c>
      <c r="K26" s="114">
        <v>232</v>
      </c>
      <c r="L26" s="45" t="s">
        <v>19</v>
      </c>
      <c r="M26" s="45" t="s">
        <v>40</v>
      </c>
      <c r="N26" s="45" t="s">
        <v>53</v>
      </c>
      <c r="O26" s="84">
        <v>8.1036535115831879E-2</v>
      </c>
    </row>
    <row r="27" spans="1:15" x14ac:dyDescent="0.3">
      <c r="A27" s="41" t="s">
        <v>60</v>
      </c>
      <c r="B27" s="42" t="s">
        <v>22</v>
      </c>
      <c r="C27" s="43">
        <v>45791</v>
      </c>
      <c r="D27" s="42" t="s">
        <v>23</v>
      </c>
      <c r="E27" s="42" t="s">
        <v>44</v>
      </c>
      <c r="F27" s="113">
        <v>2707</v>
      </c>
      <c r="G27" s="113">
        <v>103</v>
      </c>
      <c r="H27" s="113">
        <v>51</v>
      </c>
      <c r="I27" s="113">
        <v>55302</v>
      </c>
      <c r="J27" s="113">
        <v>18801</v>
      </c>
      <c r="K27" s="113">
        <v>147</v>
      </c>
      <c r="L27" s="42" t="s">
        <v>19</v>
      </c>
      <c r="M27" s="42" t="s">
        <v>337</v>
      </c>
      <c r="N27" s="42" t="s">
        <v>16</v>
      </c>
      <c r="O27" s="83">
        <v>5.173411449857148E-2</v>
      </c>
    </row>
    <row r="28" spans="1:15" x14ac:dyDescent="0.3">
      <c r="A28" s="41" t="s">
        <v>61</v>
      </c>
      <c r="B28" s="42" t="s">
        <v>13</v>
      </c>
      <c r="C28" s="43">
        <v>45625</v>
      </c>
      <c r="D28" s="42" t="s">
        <v>14</v>
      </c>
      <c r="E28" s="42" t="s">
        <v>31</v>
      </c>
      <c r="F28" s="113">
        <v>2824</v>
      </c>
      <c r="G28" s="113">
        <v>425</v>
      </c>
      <c r="H28" s="113">
        <v>274</v>
      </c>
      <c r="I28" s="113">
        <v>31004</v>
      </c>
      <c r="J28" s="113">
        <v>53488</v>
      </c>
      <c r="K28" s="113">
        <v>268</v>
      </c>
      <c r="L28" s="42" t="s">
        <v>40</v>
      </c>
      <c r="M28" s="42" t="s">
        <v>37</v>
      </c>
      <c r="N28" s="42" t="s">
        <v>16</v>
      </c>
      <c r="O28" s="83">
        <v>0.11363049929041415</v>
      </c>
    </row>
    <row r="29" spans="1:15" x14ac:dyDescent="0.3">
      <c r="A29" s="41" t="s">
        <v>62</v>
      </c>
      <c r="B29" s="42" t="s">
        <v>28</v>
      </c>
      <c r="C29" s="43">
        <v>45356</v>
      </c>
      <c r="D29" s="42" t="s">
        <v>52</v>
      </c>
      <c r="E29" s="42" t="s">
        <v>18</v>
      </c>
      <c r="F29" s="113">
        <v>3558</v>
      </c>
      <c r="G29" s="113">
        <v>314</v>
      </c>
      <c r="H29" s="113">
        <v>199</v>
      </c>
      <c r="I29" s="113">
        <v>49612</v>
      </c>
      <c r="J29" s="113">
        <v>53929</v>
      </c>
      <c r="K29" s="113">
        <v>206</v>
      </c>
      <c r="L29" s="42" t="s">
        <v>19</v>
      </c>
      <c r="M29" s="42" t="s">
        <v>40</v>
      </c>
      <c r="N29" s="42" t="s">
        <v>53</v>
      </c>
      <c r="O29" s="83">
        <v>8.205676046117874E-2</v>
      </c>
    </row>
    <row r="30" spans="1:15" x14ac:dyDescent="0.3">
      <c r="A30" s="41" t="s">
        <v>63</v>
      </c>
      <c r="B30" s="42" t="s">
        <v>22</v>
      </c>
      <c r="C30" s="43">
        <v>45734</v>
      </c>
      <c r="D30" s="42" t="s">
        <v>23</v>
      </c>
      <c r="E30" s="42" t="s">
        <v>18</v>
      </c>
      <c r="F30" s="113">
        <v>3418</v>
      </c>
      <c r="G30" s="113">
        <v>188</v>
      </c>
      <c r="H30" s="113">
        <v>387</v>
      </c>
      <c r="I30" s="113">
        <v>57431</v>
      </c>
      <c r="J30" s="113">
        <v>36933</v>
      </c>
      <c r="K30" s="113">
        <v>202</v>
      </c>
      <c r="L30" s="42" t="s">
        <v>337</v>
      </c>
      <c r="M30" s="42" t="s">
        <v>37</v>
      </c>
      <c r="N30" s="42" t="s">
        <v>16</v>
      </c>
      <c r="O30" s="83">
        <v>6.9526910553533799E-2</v>
      </c>
    </row>
    <row r="31" spans="1:15" x14ac:dyDescent="0.3">
      <c r="A31" s="41" t="s">
        <v>64</v>
      </c>
      <c r="B31" s="42" t="s">
        <v>22</v>
      </c>
      <c r="C31" s="43">
        <v>45773</v>
      </c>
      <c r="D31" s="42" t="s">
        <v>14</v>
      </c>
      <c r="E31" s="42" t="s">
        <v>15</v>
      </c>
      <c r="F31" s="113">
        <v>2411</v>
      </c>
      <c r="G31" s="113">
        <v>194</v>
      </c>
      <c r="H31" s="113">
        <v>168</v>
      </c>
      <c r="I31" s="113">
        <v>26665</v>
      </c>
      <c r="J31" s="113">
        <v>71699</v>
      </c>
      <c r="K31" s="113">
        <v>197</v>
      </c>
      <c r="L31" s="42" t="s">
        <v>37</v>
      </c>
      <c r="M31" s="42"/>
      <c r="N31" s="42" t="s">
        <v>16</v>
      </c>
      <c r="O31" s="83">
        <v>0.10399399962497656</v>
      </c>
    </row>
    <row r="32" spans="1:15" x14ac:dyDescent="0.3">
      <c r="A32" s="44" t="s">
        <v>65</v>
      </c>
      <c r="B32" s="45" t="s">
        <v>13</v>
      </c>
      <c r="C32" s="46">
        <v>45658</v>
      </c>
      <c r="D32" s="45" t="s">
        <v>14</v>
      </c>
      <c r="E32" s="45" t="s">
        <v>24</v>
      </c>
      <c r="F32" s="114">
        <v>4036</v>
      </c>
      <c r="G32" s="114">
        <v>112</v>
      </c>
      <c r="H32" s="114">
        <v>382</v>
      </c>
      <c r="I32" s="114">
        <v>56284</v>
      </c>
      <c r="J32" s="114">
        <v>29440</v>
      </c>
      <c r="K32" s="114">
        <v>279</v>
      </c>
      <c r="L32" s="45" t="s">
        <v>40</v>
      </c>
      <c r="M32" s="45" t="s">
        <v>37</v>
      </c>
      <c r="N32" s="45" t="s">
        <v>16</v>
      </c>
      <c r="O32" s="84">
        <v>8.0484684812735408E-2</v>
      </c>
    </row>
    <row r="33" spans="1:15" x14ac:dyDescent="0.3">
      <c r="A33" s="41" t="s">
        <v>66</v>
      </c>
      <c r="B33" s="42" t="s">
        <v>22</v>
      </c>
      <c r="C33" s="43">
        <v>45419</v>
      </c>
      <c r="D33" s="42" t="s">
        <v>23</v>
      </c>
      <c r="E33" s="42" t="s">
        <v>18</v>
      </c>
      <c r="F33" s="113">
        <v>2776</v>
      </c>
      <c r="G33" s="113">
        <v>307</v>
      </c>
      <c r="H33" s="113">
        <v>178</v>
      </c>
      <c r="I33" s="113">
        <v>43365</v>
      </c>
      <c r="J33" s="113">
        <v>48408</v>
      </c>
      <c r="K33" s="113">
        <v>138</v>
      </c>
      <c r="L33" s="42" t="s">
        <v>40</v>
      </c>
      <c r="M33" s="42" t="s">
        <v>37</v>
      </c>
      <c r="N33" s="42" t="s">
        <v>16</v>
      </c>
      <c r="O33" s="83">
        <v>7.519889311656866E-2</v>
      </c>
    </row>
    <row r="34" spans="1:15" x14ac:dyDescent="0.3">
      <c r="A34" s="41" t="s">
        <v>67</v>
      </c>
      <c r="B34" s="42" t="s">
        <v>22</v>
      </c>
      <c r="C34" s="43">
        <v>45574</v>
      </c>
      <c r="D34" s="42" t="s">
        <v>23</v>
      </c>
      <c r="E34" s="42" t="s">
        <v>15</v>
      </c>
      <c r="F34" s="113">
        <v>4929</v>
      </c>
      <c r="G34" s="113">
        <v>182</v>
      </c>
      <c r="H34" s="113">
        <v>95</v>
      </c>
      <c r="I34" s="113">
        <v>32181</v>
      </c>
      <c r="J34" s="113">
        <v>31084</v>
      </c>
      <c r="K34" s="113">
        <v>289</v>
      </c>
      <c r="L34" s="42" t="s">
        <v>19</v>
      </c>
      <c r="M34" s="42" t="s">
        <v>337</v>
      </c>
      <c r="N34" s="42" t="s">
        <v>16</v>
      </c>
      <c r="O34" s="83">
        <v>0.16177247444144061</v>
      </c>
    </row>
    <row r="35" spans="1:15" x14ac:dyDescent="0.3">
      <c r="A35" s="44" t="s">
        <v>68</v>
      </c>
      <c r="B35" s="45" t="s">
        <v>13</v>
      </c>
      <c r="C35" s="46">
        <v>45666</v>
      </c>
      <c r="D35" s="45" t="s">
        <v>14</v>
      </c>
      <c r="E35" s="45" t="s">
        <v>24</v>
      </c>
      <c r="F35" s="114">
        <v>1015</v>
      </c>
      <c r="G35" s="114">
        <v>366</v>
      </c>
      <c r="H35" s="114">
        <v>308</v>
      </c>
      <c r="I35" s="114">
        <v>38127</v>
      </c>
      <c r="J35" s="114">
        <v>63790</v>
      </c>
      <c r="K35" s="114">
        <v>287</v>
      </c>
      <c r="L35" s="45" t="s">
        <v>40</v>
      </c>
      <c r="M35" s="45" t="s">
        <v>37</v>
      </c>
      <c r="N35" s="45" t="s">
        <v>16</v>
      </c>
      <c r="O35" s="84">
        <v>4.4299315445747112E-2</v>
      </c>
    </row>
    <row r="36" spans="1:15" x14ac:dyDescent="0.3">
      <c r="A36" s="44" t="s">
        <v>69</v>
      </c>
      <c r="B36" s="45" t="s">
        <v>22</v>
      </c>
      <c r="C36" s="46">
        <v>45785</v>
      </c>
      <c r="D36" s="45" t="s">
        <v>23</v>
      </c>
      <c r="E36" s="45" t="s">
        <v>46</v>
      </c>
      <c r="F36" s="114">
        <v>3316</v>
      </c>
      <c r="G36" s="114">
        <v>332</v>
      </c>
      <c r="H36" s="114">
        <v>268</v>
      </c>
      <c r="I36" s="114">
        <v>40095</v>
      </c>
      <c r="J36" s="114">
        <v>36913</v>
      </c>
      <c r="K36" s="114">
        <v>265</v>
      </c>
      <c r="L36" s="45" t="s">
        <v>337</v>
      </c>
      <c r="M36" s="45" t="s">
        <v>37</v>
      </c>
      <c r="N36" s="45" t="s">
        <v>16</v>
      </c>
      <c r="O36" s="84">
        <v>9.7668038408779148E-2</v>
      </c>
    </row>
    <row r="37" spans="1:15" x14ac:dyDescent="0.3">
      <c r="A37" s="41" t="s">
        <v>70</v>
      </c>
      <c r="B37" s="42" t="s">
        <v>13</v>
      </c>
      <c r="C37" s="43">
        <v>45416</v>
      </c>
      <c r="D37" s="42" t="s">
        <v>14</v>
      </c>
      <c r="E37" s="42" t="s">
        <v>26</v>
      </c>
      <c r="F37" s="113">
        <v>2274</v>
      </c>
      <c r="G37" s="113">
        <v>243</v>
      </c>
      <c r="H37" s="113">
        <v>222</v>
      </c>
      <c r="I37" s="113">
        <v>43066</v>
      </c>
      <c r="J37" s="113">
        <v>59174</v>
      </c>
      <c r="K37" s="113">
        <v>80</v>
      </c>
      <c r="L37" s="42" t="s">
        <v>19</v>
      </c>
      <c r="M37" s="42"/>
      <c r="N37" s="42" t="s">
        <v>20</v>
      </c>
      <c r="O37" s="83">
        <v>6.3600055728416843E-2</v>
      </c>
    </row>
    <row r="38" spans="1:15" x14ac:dyDescent="0.3">
      <c r="A38" s="41" t="s">
        <v>71</v>
      </c>
      <c r="B38" s="42" t="s">
        <v>22</v>
      </c>
      <c r="C38" s="43">
        <v>45804</v>
      </c>
      <c r="D38" s="42" t="s">
        <v>23</v>
      </c>
      <c r="E38" s="42" t="s">
        <v>18</v>
      </c>
      <c r="F38" s="113">
        <v>4095</v>
      </c>
      <c r="G38" s="113">
        <v>385</v>
      </c>
      <c r="H38" s="113">
        <v>400</v>
      </c>
      <c r="I38" s="113">
        <v>45300</v>
      </c>
      <c r="J38" s="113">
        <v>31795</v>
      </c>
      <c r="K38" s="113">
        <v>80</v>
      </c>
      <c r="L38" s="42" t="s">
        <v>337</v>
      </c>
      <c r="M38" s="42" t="s">
        <v>37</v>
      </c>
      <c r="N38" s="42" t="s">
        <v>16</v>
      </c>
      <c r="O38" s="83">
        <v>0.10772626931567329</v>
      </c>
    </row>
    <row r="39" spans="1:15" x14ac:dyDescent="0.3">
      <c r="A39" s="44" t="s">
        <v>72</v>
      </c>
      <c r="B39" s="45" t="s">
        <v>13</v>
      </c>
      <c r="C39" s="46">
        <v>45545</v>
      </c>
      <c r="D39" s="45" t="s">
        <v>23</v>
      </c>
      <c r="E39" s="45" t="s">
        <v>24</v>
      </c>
      <c r="F39" s="114">
        <v>1230</v>
      </c>
      <c r="G39" s="114">
        <v>309</v>
      </c>
      <c r="H39" s="114">
        <v>207</v>
      </c>
      <c r="I39" s="114">
        <v>44629</v>
      </c>
      <c r="J39" s="114">
        <v>40699</v>
      </c>
      <c r="K39" s="114">
        <v>195</v>
      </c>
      <c r="L39" s="45" t="s">
        <v>37</v>
      </c>
      <c r="M39" s="45"/>
      <c r="N39" s="45" t="s">
        <v>50</v>
      </c>
      <c r="O39" s="84">
        <v>3.9122543637545096E-2</v>
      </c>
    </row>
    <row r="40" spans="1:15" x14ac:dyDescent="0.3">
      <c r="A40" s="41" t="s">
        <v>73</v>
      </c>
      <c r="B40" s="42" t="s">
        <v>13</v>
      </c>
      <c r="C40" s="43">
        <v>45621</v>
      </c>
      <c r="D40" s="42" t="s">
        <v>14</v>
      </c>
      <c r="E40" s="42" t="s">
        <v>44</v>
      </c>
      <c r="F40" s="113">
        <v>1341</v>
      </c>
      <c r="G40" s="113">
        <v>472</v>
      </c>
      <c r="H40" s="113">
        <v>238</v>
      </c>
      <c r="I40" s="113">
        <v>51386</v>
      </c>
      <c r="J40" s="113">
        <v>51706</v>
      </c>
      <c r="K40" s="113">
        <v>133</v>
      </c>
      <c r="L40" s="42" t="s">
        <v>19</v>
      </c>
      <c r="M40" s="42"/>
      <c r="N40" s="42" t="s">
        <v>20</v>
      </c>
      <c r="O40" s="83">
        <v>3.9913595142645857E-2</v>
      </c>
    </row>
    <row r="41" spans="1:15" x14ac:dyDescent="0.3">
      <c r="A41" s="44" t="s">
        <v>74</v>
      </c>
      <c r="B41" s="45" t="s">
        <v>22</v>
      </c>
      <c r="C41" s="46">
        <v>45818</v>
      </c>
      <c r="D41" s="45" t="s">
        <v>14</v>
      </c>
      <c r="E41" s="45" t="s">
        <v>18</v>
      </c>
      <c r="F41" s="114">
        <v>3615</v>
      </c>
      <c r="G41" s="114">
        <v>192</v>
      </c>
      <c r="H41" s="114">
        <v>162</v>
      </c>
      <c r="I41" s="114">
        <v>27492</v>
      </c>
      <c r="J41" s="114">
        <v>35341</v>
      </c>
      <c r="K41" s="114">
        <v>125</v>
      </c>
      <c r="L41" s="45" t="s">
        <v>37</v>
      </c>
      <c r="M41" s="45"/>
      <c r="N41" s="45" t="s">
        <v>16</v>
      </c>
      <c r="O41" s="84">
        <v>0.14436927106067218</v>
      </c>
    </row>
    <row r="42" spans="1:15" x14ac:dyDescent="0.3">
      <c r="A42" s="41" t="s">
        <v>75</v>
      </c>
      <c r="B42" s="42" t="s">
        <v>13</v>
      </c>
      <c r="C42" s="43">
        <v>45401</v>
      </c>
      <c r="D42" s="42" t="s">
        <v>14</v>
      </c>
      <c r="E42" s="42" t="s">
        <v>24</v>
      </c>
      <c r="F42" s="113">
        <v>4001</v>
      </c>
      <c r="G42" s="113">
        <v>353</v>
      </c>
      <c r="H42" s="113">
        <v>129</v>
      </c>
      <c r="I42" s="113">
        <v>41265</v>
      </c>
      <c r="J42" s="113">
        <v>37279</v>
      </c>
      <c r="K42" s="113">
        <v>275</v>
      </c>
      <c r="L42" s="42" t="s">
        <v>40</v>
      </c>
      <c r="M42" s="42" t="s">
        <v>37</v>
      </c>
      <c r="N42" s="42" t="s">
        <v>16</v>
      </c>
      <c r="O42" s="83">
        <v>0.10863928268508422</v>
      </c>
    </row>
    <row r="43" spans="1:15" x14ac:dyDescent="0.3">
      <c r="A43" s="44" t="s">
        <v>76</v>
      </c>
      <c r="B43" s="45" t="s">
        <v>13</v>
      </c>
      <c r="C43" s="46">
        <v>45683</v>
      </c>
      <c r="D43" s="45" t="s">
        <v>23</v>
      </c>
      <c r="E43" s="45" t="s">
        <v>31</v>
      </c>
      <c r="F43" s="114">
        <v>3451</v>
      </c>
      <c r="G43" s="114">
        <v>363</v>
      </c>
      <c r="H43" s="114">
        <v>393</v>
      </c>
      <c r="I43" s="114">
        <v>44853</v>
      </c>
      <c r="J43" s="114">
        <v>69032</v>
      </c>
      <c r="K43" s="114">
        <v>211</v>
      </c>
      <c r="L43" s="45" t="s">
        <v>37</v>
      </c>
      <c r="M43" s="45"/>
      <c r="N43" s="45" t="s">
        <v>50</v>
      </c>
      <c r="O43" s="84">
        <v>9.379528682585335E-2</v>
      </c>
    </row>
    <row r="44" spans="1:15" x14ac:dyDescent="0.3">
      <c r="A44" s="44" t="s">
        <v>77</v>
      </c>
      <c r="B44" s="45" t="s">
        <v>13</v>
      </c>
      <c r="C44" s="46">
        <v>45702</v>
      </c>
      <c r="D44" s="45" t="s">
        <v>14</v>
      </c>
      <c r="E44" s="45" t="s">
        <v>36</v>
      </c>
      <c r="F44" s="114">
        <v>4891</v>
      </c>
      <c r="G44" s="114">
        <v>450</v>
      </c>
      <c r="H44" s="114">
        <v>387</v>
      </c>
      <c r="I44" s="114">
        <v>48746</v>
      </c>
      <c r="J44" s="114">
        <v>37312</v>
      </c>
      <c r="K44" s="114">
        <v>154</v>
      </c>
      <c r="L44" s="45" t="s">
        <v>40</v>
      </c>
      <c r="M44" s="45" t="s">
        <v>37</v>
      </c>
      <c r="N44" s="45" t="s">
        <v>16</v>
      </c>
      <c r="O44" s="84">
        <v>0.11750707750379519</v>
      </c>
    </row>
    <row r="45" spans="1:15" x14ac:dyDescent="0.3">
      <c r="A45" s="44" t="s">
        <v>78</v>
      </c>
      <c r="B45" s="45" t="s">
        <v>13</v>
      </c>
      <c r="C45" s="46">
        <v>45541</v>
      </c>
      <c r="D45" s="45" t="s">
        <v>14</v>
      </c>
      <c r="E45" s="45" t="s">
        <v>24</v>
      </c>
      <c r="F45" s="114">
        <v>1452</v>
      </c>
      <c r="G45" s="114">
        <v>281</v>
      </c>
      <c r="H45" s="114">
        <v>326</v>
      </c>
      <c r="I45" s="114">
        <v>51556</v>
      </c>
      <c r="J45" s="114">
        <v>62599</v>
      </c>
      <c r="K45" s="114">
        <v>290</v>
      </c>
      <c r="L45" s="45" t="s">
        <v>19</v>
      </c>
      <c r="M45" s="45"/>
      <c r="N45" s="45" t="s">
        <v>20</v>
      </c>
      <c r="O45" s="84">
        <v>3.9937155714174881E-2</v>
      </c>
    </row>
    <row r="46" spans="1:15" x14ac:dyDescent="0.3">
      <c r="A46" s="44" t="s">
        <v>79</v>
      </c>
      <c r="B46" s="45" t="s">
        <v>28</v>
      </c>
      <c r="C46" s="46">
        <v>45487</v>
      </c>
      <c r="D46" s="45" t="s">
        <v>14</v>
      </c>
      <c r="E46" s="45" t="s">
        <v>46</v>
      </c>
      <c r="F46" s="114">
        <v>3806</v>
      </c>
      <c r="G46" s="114">
        <v>114</v>
      </c>
      <c r="H46" s="114">
        <v>278</v>
      </c>
      <c r="I46" s="114">
        <v>36148</v>
      </c>
      <c r="J46" s="114">
        <v>24209</v>
      </c>
      <c r="K46" s="114">
        <v>201</v>
      </c>
      <c r="L46" s="45" t="s">
        <v>19</v>
      </c>
      <c r="M46" s="45" t="s">
        <v>338</v>
      </c>
      <c r="N46" s="45" t="s">
        <v>20</v>
      </c>
      <c r="O46" s="84">
        <v>0.11613367267898639</v>
      </c>
    </row>
    <row r="47" spans="1:15" x14ac:dyDescent="0.3">
      <c r="A47" s="44" t="s">
        <v>80</v>
      </c>
      <c r="B47" s="45" t="s">
        <v>13</v>
      </c>
      <c r="C47" s="46">
        <v>45334</v>
      </c>
      <c r="D47" s="45" t="s">
        <v>14</v>
      </c>
      <c r="E47" s="45" t="s">
        <v>18</v>
      </c>
      <c r="F47" s="114">
        <v>2923</v>
      </c>
      <c r="G47" s="114">
        <v>330</v>
      </c>
      <c r="H47" s="114">
        <v>250</v>
      </c>
      <c r="I47" s="114">
        <v>23993</v>
      </c>
      <c r="J47" s="114">
        <v>74590</v>
      </c>
      <c r="K47" s="114">
        <v>92</v>
      </c>
      <c r="L47" s="45" t="s">
        <v>19</v>
      </c>
      <c r="M47" s="45"/>
      <c r="N47" s="45" t="s">
        <v>20</v>
      </c>
      <c r="O47" s="84">
        <v>0.14600091693410577</v>
      </c>
    </row>
    <row r="48" spans="1:15" x14ac:dyDescent="0.3">
      <c r="A48" s="41" t="s">
        <v>81</v>
      </c>
      <c r="B48" s="42" t="s">
        <v>28</v>
      </c>
      <c r="C48" s="43">
        <v>45365</v>
      </c>
      <c r="D48" s="42" t="s">
        <v>52</v>
      </c>
      <c r="E48" s="42" t="s">
        <v>44</v>
      </c>
      <c r="F48" s="113">
        <v>3361</v>
      </c>
      <c r="G48" s="113">
        <v>188</v>
      </c>
      <c r="H48" s="113">
        <v>358</v>
      </c>
      <c r="I48" s="113">
        <v>39838</v>
      </c>
      <c r="J48" s="113">
        <v>24536</v>
      </c>
      <c r="K48" s="113">
        <v>120</v>
      </c>
      <c r="L48" s="42" t="s">
        <v>19</v>
      </c>
      <c r="M48" s="42" t="s">
        <v>40</v>
      </c>
      <c r="N48" s="42" t="s">
        <v>53</v>
      </c>
      <c r="O48" s="83">
        <v>9.8072192379135503E-2</v>
      </c>
    </row>
    <row r="49" spans="1:15" x14ac:dyDescent="0.3">
      <c r="A49" s="44" t="s">
        <v>82</v>
      </c>
      <c r="B49" s="45" t="s">
        <v>13</v>
      </c>
      <c r="C49" s="46">
        <v>45693</v>
      </c>
      <c r="D49" s="45" t="s">
        <v>23</v>
      </c>
      <c r="E49" s="45" t="s">
        <v>29</v>
      </c>
      <c r="F49" s="114">
        <v>3074</v>
      </c>
      <c r="G49" s="114">
        <v>371</v>
      </c>
      <c r="H49" s="114">
        <v>348</v>
      </c>
      <c r="I49" s="114">
        <v>24104</v>
      </c>
      <c r="J49" s="114">
        <v>57803</v>
      </c>
      <c r="K49" s="114">
        <v>213</v>
      </c>
      <c r="L49" s="45" t="s">
        <v>37</v>
      </c>
      <c r="M49" s="45"/>
      <c r="N49" s="45" t="s">
        <v>50</v>
      </c>
      <c r="O49" s="84">
        <v>0.15735977431131762</v>
      </c>
    </row>
    <row r="50" spans="1:15" x14ac:dyDescent="0.3">
      <c r="A50" s="44" t="s">
        <v>83</v>
      </c>
      <c r="B50" s="45" t="s">
        <v>22</v>
      </c>
      <c r="C50" s="46">
        <v>45533</v>
      </c>
      <c r="D50" s="45" t="s">
        <v>23</v>
      </c>
      <c r="E50" s="45" t="s">
        <v>33</v>
      </c>
      <c r="F50" s="114">
        <v>4276</v>
      </c>
      <c r="G50" s="114">
        <v>227</v>
      </c>
      <c r="H50" s="114">
        <v>223</v>
      </c>
      <c r="I50" s="114">
        <v>43443</v>
      </c>
      <c r="J50" s="114">
        <v>41005</v>
      </c>
      <c r="K50" s="114">
        <v>191</v>
      </c>
      <c r="L50" s="45" t="s">
        <v>19</v>
      </c>
      <c r="M50" s="45" t="s">
        <v>337</v>
      </c>
      <c r="N50" s="45" t="s">
        <v>16</v>
      </c>
      <c r="O50" s="84">
        <v>0.1087862256289851</v>
      </c>
    </row>
    <row r="51" spans="1:15" x14ac:dyDescent="0.3">
      <c r="A51" s="41" t="s">
        <v>84</v>
      </c>
      <c r="B51" s="42" t="s">
        <v>22</v>
      </c>
      <c r="C51" s="43">
        <v>45769</v>
      </c>
      <c r="D51" s="42" t="s">
        <v>14</v>
      </c>
      <c r="E51" s="42" t="s">
        <v>15</v>
      </c>
      <c r="F51" s="113">
        <v>4401</v>
      </c>
      <c r="G51" s="113">
        <v>421</v>
      </c>
      <c r="H51" s="113">
        <v>216</v>
      </c>
      <c r="I51" s="113">
        <v>24890</v>
      </c>
      <c r="J51" s="113">
        <v>54361</v>
      </c>
      <c r="K51" s="113">
        <v>148</v>
      </c>
      <c r="L51" s="42" t="s">
        <v>37</v>
      </c>
      <c r="M51" s="42"/>
      <c r="N51" s="42" t="s">
        <v>16</v>
      </c>
      <c r="O51" s="83">
        <v>0.20241060666934513</v>
      </c>
    </row>
    <row r="52" spans="1:15" x14ac:dyDescent="0.3">
      <c r="A52" s="44" t="s">
        <v>85</v>
      </c>
      <c r="B52" s="45" t="s">
        <v>28</v>
      </c>
      <c r="C52" s="46">
        <v>45425</v>
      </c>
      <c r="D52" s="45" t="s">
        <v>52</v>
      </c>
      <c r="E52" s="45" t="s">
        <v>18</v>
      </c>
      <c r="F52" s="114">
        <v>4161</v>
      </c>
      <c r="G52" s="114">
        <v>481</v>
      </c>
      <c r="H52" s="114">
        <v>61</v>
      </c>
      <c r="I52" s="114">
        <v>45884</v>
      </c>
      <c r="J52" s="114">
        <v>48955</v>
      </c>
      <c r="K52" s="114">
        <v>215</v>
      </c>
      <c r="L52" s="45" t="s">
        <v>19</v>
      </c>
      <c r="M52" s="45" t="s">
        <v>40</v>
      </c>
      <c r="N52" s="45" t="s">
        <v>53</v>
      </c>
      <c r="O52" s="84">
        <v>0.10249760265016128</v>
      </c>
    </row>
    <row r="53" spans="1:15" x14ac:dyDescent="0.3">
      <c r="A53" s="44" t="s">
        <v>86</v>
      </c>
      <c r="B53" s="45" t="s">
        <v>22</v>
      </c>
      <c r="C53" s="46">
        <v>45539</v>
      </c>
      <c r="D53" s="45" t="s">
        <v>23</v>
      </c>
      <c r="E53" s="45" t="s">
        <v>24</v>
      </c>
      <c r="F53" s="114">
        <v>2613</v>
      </c>
      <c r="G53" s="114">
        <v>455</v>
      </c>
      <c r="H53" s="114">
        <v>228</v>
      </c>
      <c r="I53" s="114">
        <v>21645</v>
      </c>
      <c r="J53" s="114">
        <v>61334</v>
      </c>
      <c r="K53" s="114">
        <v>261</v>
      </c>
      <c r="L53" s="45" t="s">
        <v>19</v>
      </c>
      <c r="M53" s="45" t="s">
        <v>337</v>
      </c>
      <c r="N53" s="45" t="s">
        <v>16</v>
      </c>
      <c r="O53" s="84">
        <v>0.15227535227535227</v>
      </c>
    </row>
    <row r="54" spans="1:15" x14ac:dyDescent="0.3">
      <c r="A54" s="44" t="s">
        <v>87</v>
      </c>
      <c r="B54" s="45" t="s">
        <v>22</v>
      </c>
      <c r="C54" s="46">
        <v>45516</v>
      </c>
      <c r="D54" s="45" t="s">
        <v>23</v>
      </c>
      <c r="E54" s="45" t="s">
        <v>31</v>
      </c>
      <c r="F54" s="114">
        <v>2842</v>
      </c>
      <c r="G54" s="114">
        <v>213</v>
      </c>
      <c r="H54" s="114">
        <v>331</v>
      </c>
      <c r="I54" s="114">
        <v>57660</v>
      </c>
      <c r="J54" s="114">
        <v>68606</v>
      </c>
      <c r="K54" s="114">
        <v>87</v>
      </c>
      <c r="L54" s="45" t="s">
        <v>337</v>
      </c>
      <c r="M54" s="45" t="s">
        <v>37</v>
      </c>
      <c r="N54" s="45" t="s">
        <v>16</v>
      </c>
      <c r="O54" s="84">
        <v>5.8723551855705859E-2</v>
      </c>
    </row>
    <row r="55" spans="1:15" x14ac:dyDescent="0.3">
      <c r="A55" s="41" t="s">
        <v>88</v>
      </c>
      <c r="B55" s="42" t="s">
        <v>13</v>
      </c>
      <c r="C55" s="43">
        <v>45722</v>
      </c>
      <c r="D55" s="42" t="s">
        <v>14</v>
      </c>
      <c r="E55" s="42" t="s">
        <v>33</v>
      </c>
      <c r="F55" s="113">
        <v>4851</v>
      </c>
      <c r="G55" s="113">
        <v>460</v>
      </c>
      <c r="H55" s="113">
        <v>212</v>
      </c>
      <c r="I55" s="113">
        <v>58075</v>
      </c>
      <c r="J55" s="113">
        <v>59574</v>
      </c>
      <c r="K55" s="113">
        <v>239</v>
      </c>
      <c r="L55" s="42" t="s">
        <v>19</v>
      </c>
      <c r="M55" s="42"/>
      <c r="N55" s="42" t="s">
        <v>20</v>
      </c>
      <c r="O55" s="83">
        <v>9.5101162290142052E-2</v>
      </c>
    </row>
    <row r="56" spans="1:15" x14ac:dyDescent="0.3">
      <c r="A56" s="41" t="s">
        <v>89</v>
      </c>
      <c r="B56" s="42" t="s">
        <v>22</v>
      </c>
      <c r="C56" s="43">
        <v>45420</v>
      </c>
      <c r="D56" s="42" t="s">
        <v>14</v>
      </c>
      <c r="E56" s="42" t="s">
        <v>18</v>
      </c>
      <c r="F56" s="113">
        <v>1828</v>
      </c>
      <c r="G56" s="113">
        <v>450</v>
      </c>
      <c r="H56" s="113">
        <v>214</v>
      </c>
      <c r="I56" s="113">
        <v>52115</v>
      </c>
      <c r="J56" s="113">
        <v>19166</v>
      </c>
      <c r="K56" s="113">
        <v>190</v>
      </c>
      <c r="L56" s="42" t="s">
        <v>37</v>
      </c>
      <c r="M56" s="42"/>
      <c r="N56" s="42" t="s">
        <v>16</v>
      </c>
      <c r="O56" s="83">
        <v>4.781732706514439E-2</v>
      </c>
    </row>
    <row r="57" spans="1:15" x14ac:dyDescent="0.3">
      <c r="A57" s="44" t="s">
        <v>90</v>
      </c>
      <c r="B57" s="45" t="s">
        <v>13</v>
      </c>
      <c r="C57" s="46">
        <v>45707</v>
      </c>
      <c r="D57" s="45" t="s">
        <v>23</v>
      </c>
      <c r="E57" s="45" t="s">
        <v>44</v>
      </c>
      <c r="F57" s="114">
        <v>2422</v>
      </c>
      <c r="G57" s="114">
        <v>455</v>
      </c>
      <c r="H57" s="114">
        <v>376</v>
      </c>
      <c r="I57" s="114">
        <v>23428</v>
      </c>
      <c r="J57" s="114">
        <v>46775</v>
      </c>
      <c r="K57" s="114">
        <v>259</v>
      </c>
      <c r="L57" s="45" t="s">
        <v>37</v>
      </c>
      <c r="M57" s="45"/>
      <c r="N57" s="45" t="s">
        <v>50</v>
      </c>
      <c r="O57" s="84">
        <v>0.13885094758408742</v>
      </c>
    </row>
    <row r="58" spans="1:15" x14ac:dyDescent="0.3">
      <c r="A58" s="41" t="s">
        <v>91</v>
      </c>
      <c r="B58" s="42" t="s">
        <v>13</v>
      </c>
      <c r="C58" s="43">
        <v>45299</v>
      </c>
      <c r="D58" s="42" t="s">
        <v>14</v>
      </c>
      <c r="E58" s="42" t="s">
        <v>36</v>
      </c>
      <c r="F58" s="113">
        <v>2683</v>
      </c>
      <c r="G58" s="113">
        <v>405</v>
      </c>
      <c r="H58" s="113">
        <v>223</v>
      </c>
      <c r="I58" s="113">
        <v>31233</v>
      </c>
      <c r="J58" s="113">
        <v>58106</v>
      </c>
      <c r="K58" s="113">
        <v>291</v>
      </c>
      <c r="L58" s="42" t="s">
        <v>19</v>
      </c>
      <c r="M58" s="42"/>
      <c r="N58" s="42" t="s">
        <v>20</v>
      </c>
      <c r="O58" s="83">
        <v>0.10600966926007749</v>
      </c>
    </row>
    <row r="59" spans="1:15" x14ac:dyDescent="0.3">
      <c r="A59" s="41" t="s">
        <v>92</v>
      </c>
      <c r="B59" s="42" t="s">
        <v>28</v>
      </c>
      <c r="C59" s="43">
        <v>45490</v>
      </c>
      <c r="D59" s="42" t="s">
        <v>14</v>
      </c>
      <c r="E59" s="42" t="s">
        <v>36</v>
      </c>
      <c r="F59" s="113">
        <v>3135</v>
      </c>
      <c r="G59" s="113">
        <v>110</v>
      </c>
      <c r="H59" s="113">
        <v>215</v>
      </c>
      <c r="I59" s="113">
        <v>39192</v>
      </c>
      <c r="J59" s="113">
        <v>24744</v>
      </c>
      <c r="K59" s="113">
        <v>177</v>
      </c>
      <c r="L59" s="42" t="s">
        <v>19</v>
      </c>
      <c r="M59" s="42" t="s">
        <v>338</v>
      </c>
      <c r="N59" s="42" t="s">
        <v>20</v>
      </c>
      <c r="O59" s="83">
        <v>8.8283323127168814E-2</v>
      </c>
    </row>
    <row r="60" spans="1:15" x14ac:dyDescent="0.3">
      <c r="A60" s="44" t="s">
        <v>93</v>
      </c>
      <c r="B60" s="45" t="s">
        <v>28</v>
      </c>
      <c r="C60" s="46">
        <v>45514</v>
      </c>
      <c r="D60" s="45" t="s">
        <v>14</v>
      </c>
      <c r="E60" s="45" t="s">
        <v>44</v>
      </c>
      <c r="F60" s="114">
        <v>1105</v>
      </c>
      <c r="G60" s="114">
        <v>181</v>
      </c>
      <c r="H60" s="114">
        <v>55</v>
      </c>
      <c r="I60" s="114">
        <v>53581</v>
      </c>
      <c r="J60" s="114">
        <v>74048</v>
      </c>
      <c r="K60" s="114">
        <v>220</v>
      </c>
      <c r="L60" s="45" t="s">
        <v>19</v>
      </c>
      <c r="M60" s="45" t="s">
        <v>338</v>
      </c>
      <c r="N60" s="45" t="s">
        <v>20</v>
      </c>
      <c r="O60" s="84">
        <v>2.50275284149232E-2</v>
      </c>
    </row>
    <row r="61" spans="1:15" x14ac:dyDescent="0.3">
      <c r="A61" s="41" t="s">
        <v>94</v>
      </c>
      <c r="B61" s="42" t="s">
        <v>28</v>
      </c>
      <c r="C61" s="43">
        <v>45398</v>
      </c>
      <c r="D61" s="42" t="s">
        <v>14</v>
      </c>
      <c r="E61" s="42" t="s">
        <v>15</v>
      </c>
      <c r="F61" s="113">
        <v>4674</v>
      </c>
      <c r="G61" s="113">
        <v>326</v>
      </c>
      <c r="H61" s="113">
        <v>62</v>
      </c>
      <c r="I61" s="113">
        <v>45503</v>
      </c>
      <c r="J61" s="113">
        <v>46814</v>
      </c>
      <c r="K61" s="113">
        <v>116</v>
      </c>
      <c r="L61" s="42" t="s">
        <v>19</v>
      </c>
      <c r="M61" s="42" t="s">
        <v>338</v>
      </c>
      <c r="N61" s="42" t="s">
        <v>20</v>
      </c>
      <c r="O61" s="83">
        <v>0.11124541239039185</v>
      </c>
    </row>
    <row r="62" spans="1:15" x14ac:dyDescent="0.3">
      <c r="A62" s="41" t="s">
        <v>95</v>
      </c>
      <c r="B62" s="42" t="s">
        <v>28</v>
      </c>
      <c r="C62" s="43">
        <v>45292</v>
      </c>
      <c r="D62" s="42" t="s">
        <v>52</v>
      </c>
      <c r="E62" s="42" t="s">
        <v>18</v>
      </c>
      <c r="F62" s="113">
        <v>3437</v>
      </c>
      <c r="G62" s="113">
        <v>129</v>
      </c>
      <c r="H62" s="113">
        <v>359</v>
      </c>
      <c r="I62" s="113">
        <v>44558</v>
      </c>
      <c r="J62" s="113">
        <v>30854</v>
      </c>
      <c r="K62" s="113">
        <v>171</v>
      </c>
      <c r="L62" s="42" t="s">
        <v>19</v>
      </c>
      <c r="M62" s="42" t="s">
        <v>40</v>
      </c>
      <c r="N62" s="42" t="s">
        <v>53</v>
      </c>
      <c r="O62" s="83">
        <v>8.8087436599488311E-2</v>
      </c>
    </row>
    <row r="63" spans="1:15" x14ac:dyDescent="0.3">
      <c r="A63" s="44" t="s">
        <v>96</v>
      </c>
      <c r="B63" s="45" t="s">
        <v>22</v>
      </c>
      <c r="C63" s="46">
        <v>45599</v>
      </c>
      <c r="D63" s="45" t="s">
        <v>23</v>
      </c>
      <c r="E63" s="45" t="s">
        <v>26</v>
      </c>
      <c r="F63" s="114">
        <v>1959</v>
      </c>
      <c r="G63" s="114">
        <v>316</v>
      </c>
      <c r="H63" s="114">
        <v>82</v>
      </c>
      <c r="I63" s="114">
        <v>54036</v>
      </c>
      <c r="J63" s="114">
        <v>69015</v>
      </c>
      <c r="K63" s="114">
        <v>182</v>
      </c>
      <c r="L63" s="45" t="s">
        <v>337</v>
      </c>
      <c r="M63" s="45" t="s">
        <v>37</v>
      </c>
      <c r="N63" s="45" t="s">
        <v>16</v>
      </c>
      <c r="O63" s="84">
        <v>4.3619068768968837E-2</v>
      </c>
    </row>
    <row r="64" spans="1:15" x14ac:dyDescent="0.3">
      <c r="A64" s="44" t="s">
        <v>97</v>
      </c>
      <c r="B64" s="45" t="s">
        <v>22</v>
      </c>
      <c r="C64" s="46">
        <v>45480</v>
      </c>
      <c r="D64" s="45" t="s">
        <v>14</v>
      </c>
      <c r="E64" s="45" t="s">
        <v>24</v>
      </c>
      <c r="F64" s="114">
        <v>1035</v>
      </c>
      <c r="G64" s="114">
        <v>137</v>
      </c>
      <c r="H64" s="114">
        <v>184</v>
      </c>
      <c r="I64" s="114">
        <v>37302</v>
      </c>
      <c r="J64" s="114">
        <v>68953</v>
      </c>
      <c r="K64" s="114">
        <v>237</v>
      </c>
      <c r="L64" s="45" t="s">
        <v>40</v>
      </c>
      <c r="M64" s="45"/>
      <c r="N64" s="45" t="s">
        <v>20</v>
      </c>
      <c r="O64" s="84">
        <v>3.6351938233874857E-2</v>
      </c>
    </row>
    <row r="65" spans="1:15" x14ac:dyDescent="0.3">
      <c r="A65" s="41" t="s">
        <v>98</v>
      </c>
      <c r="B65" s="42" t="s">
        <v>22</v>
      </c>
      <c r="C65" s="43">
        <v>45679</v>
      </c>
      <c r="D65" s="42" t="s">
        <v>23</v>
      </c>
      <c r="E65" s="42" t="s">
        <v>24</v>
      </c>
      <c r="F65" s="113">
        <v>4478</v>
      </c>
      <c r="G65" s="113">
        <v>101</v>
      </c>
      <c r="H65" s="113">
        <v>121</v>
      </c>
      <c r="I65" s="113">
        <v>51035</v>
      </c>
      <c r="J65" s="113">
        <v>58207</v>
      </c>
      <c r="K65" s="113">
        <v>205</v>
      </c>
      <c r="L65" s="42" t="s">
        <v>337</v>
      </c>
      <c r="M65" s="42" t="s">
        <v>37</v>
      </c>
      <c r="N65" s="42" t="s">
        <v>16</v>
      </c>
      <c r="O65" s="83">
        <v>9.2093661212893113E-2</v>
      </c>
    </row>
    <row r="66" spans="1:15" x14ac:dyDescent="0.3">
      <c r="A66" s="41" t="s">
        <v>99</v>
      </c>
      <c r="B66" s="42" t="s">
        <v>28</v>
      </c>
      <c r="C66" s="43">
        <v>45438</v>
      </c>
      <c r="D66" s="42" t="s">
        <v>14</v>
      </c>
      <c r="E66" s="42" t="s">
        <v>44</v>
      </c>
      <c r="F66" s="113">
        <v>1488</v>
      </c>
      <c r="G66" s="113">
        <v>327</v>
      </c>
      <c r="H66" s="113">
        <v>110</v>
      </c>
      <c r="I66" s="113">
        <v>53805</v>
      </c>
      <c r="J66" s="113">
        <v>30239</v>
      </c>
      <c r="K66" s="113">
        <v>109</v>
      </c>
      <c r="L66" s="42" t="s">
        <v>19</v>
      </c>
      <c r="M66" s="42" t="s">
        <v>338</v>
      </c>
      <c r="N66" s="42" t="s">
        <v>20</v>
      </c>
      <c r="O66" s="83">
        <v>3.5777344113000653E-2</v>
      </c>
    </row>
    <row r="67" spans="1:15" x14ac:dyDescent="0.3">
      <c r="A67" s="44" t="s">
        <v>100</v>
      </c>
      <c r="B67" s="45" t="s">
        <v>13</v>
      </c>
      <c r="C67" s="46">
        <v>45763</v>
      </c>
      <c r="D67" s="45" t="s">
        <v>14</v>
      </c>
      <c r="E67" s="45" t="s">
        <v>26</v>
      </c>
      <c r="F67" s="114">
        <v>4836</v>
      </c>
      <c r="G67" s="114">
        <v>331</v>
      </c>
      <c r="H67" s="114">
        <v>140</v>
      </c>
      <c r="I67" s="114">
        <v>58792</v>
      </c>
      <c r="J67" s="114">
        <v>47711</v>
      </c>
      <c r="K67" s="114">
        <v>227</v>
      </c>
      <c r="L67" s="45" t="s">
        <v>40</v>
      </c>
      <c r="M67" s="45" t="s">
        <v>37</v>
      </c>
      <c r="N67" s="45" t="s">
        <v>16</v>
      </c>
      <c r="O67" s="84">
        <v>9.0267383317458164E-2</v>
      </c>
    </row>
    <row r="68" spans="1:15" x14ac:dyDescent="0.3">
      <c r="A68" s="44" t="s">
        <v>101</v>
      </c>
      <c r="B68" s="45" t="s">
        <v>28</v>
      </c>
      <c r="C68" s="46">
        <v>45384</v>
      </c>
      <c r="D68" s="45" t="s">
        <v>52</v>
      </c>
      <c r="E68" s="45" t="s">
        <v>46</v>
      </c>
      <c r="F68" s="114">
        <v>4563</v>
      </c>
      <c r="G68" s="114">
        <v>488</v>
      </c>
      <c r="H68" s="114">
        <v>356</v>
      </c>
      <c r="I68" s="114">
        <v>30619</v>
      </c>
      <c r="J68" s="114">
        <v>23328</v>
      </c>
      <c r="K68" s="114">
        <v>267</v>
      </c>
      <c r="L68" s="45" t="s">
        <v>19</v>
      </c>
      <c r="M68" s="45" t="s">
        <v>40</v>
      </c>
      <c r="N68" s="45" t="s">
        <v>53</v>
      </c>
      <c r="O68" s="84">
        <v>0.17658969920637513</v>
      </c>
    </row>
    <row r="69" spans="1:15" x14ac:dyDescent="0.3">
      <c r="A69" s="44" t="s">
        <v>102</v>
      </c>
      <c r="B69" s="45" t="s">
        <v>22</v>
      </c>
      <c r="C69" s="46">
        <v>45379</v>
      </c>
      <c r="D69" s="45" t="s">
        <v>14</v>
      </c>
      <c r="E69" s="45" t="s">
        <v>29</v>
      </c>
      <c r="F69" s="114">
        <v>3276</v>
      </c>
      <c r="G69" s="114">
        <v>421</v>
      </c>
      <c r="H69" s="114">
        <v>114</v>
      </c>
      <c r="I69" s="114">
        <v>20580</v>
      </c>
      <c r="J69" s="114">
        <v>30324</v>
      </c>
      <c r="K69" s="114">
        <v>221</v>
      </c>
      <c r="L69" s="45" t="s">
        <v>40</v>
      </c>
      <c r="M69" s="45"/>
      <c r="N69" s="45" t="s">
        <v>20</v>
      </c>
      <c r="O69" s="84">
        <v>0.18517978620019437</v>
      </c>
    </row>
    <row r="70" spans="1:15" x14ac:dyDescent="0.3">
      <c r="A70" s="41" t="s">
        <v>103</v>
      </c>
      <c r="B70" s="42" t="s">
        <v>22</v>
      </c>
      <c r="C70" s="43">
        <v>45643</v>
      </c>
      <c r="D70" s="42" t="s">
        <v>23</v>
      </c>
      <c r="E70" s="42" t="s">
        <v>29</v>
      </c>
      <c r="F70" s="113">
        <v>1316</v>
      </c>
      <c r="G70" s="113">
        <v>472</v>
      </c>
      <c r="H70" s="113">
        <v>286</v>
      </c>
      <c r="I70" s="113">
        <v>44692</v>
      </c>
      <c r="J70" s="113">
        <v>53343</v>
      </c>
      <c r="K70" s="113">
        <v>227</v>
      </c>
      <c r="L70" s="42" t="s">
        <v>19</v>
      </c>
      <c r="M70" s="42" t="s">
        <v>337</v>
      </c>
      <c r="N70" s="42" t="s">
        <v>16</v>
      </c>
      <c r="O70" s="83">
        <v>4.6406515707509172E-2</v>
      </c>
    </row>
    <row r="71" spans="1:15" x14ac:dyDescent="0.3">
      <c r="A71" s="41" t="s">
        <v>104</v>
      </c>
      <c r="B71" s="42" t="s">
        <v>22</v>
      </c>
      <c r="C71" s="43">
        <v>45662</v>
      </c>
      <c r="D71" s="42" t="s">
        <v>14</v>
      </c>
      <c r="E71" s="42" t="s">
        <v>26</v>
      </c>
      <c r="F71" s="113">
        <v>4811</v>
      </c>
      <c r="G71" s="113">
        <v>473</v>
      </c>
      <c r="H71" s="113">
        <v>254</v>
      </c>
      <c r="I71" s="113">
        <v>51964</v>
      </c>
      <c r="J71" s="113">
        <v>68795</v>
      </c>
      <c r="K71" s="113">
        <v>107</v>
      </c>
      <c r="L71" s="42" t="s">
        <v>37</v>
      </c>
      <c r="M71" s="42"/>
      <c r="N71" s="42" t="s">
        <v>16</v>
      </c>
      <c r="O71" s="83">
        <v>0.10657378184897237</v>
      </c>
    </row>
    <row r="72" spans="1:15" x14ac:dyDescent="0.3">
      <c r="A72" s="44" t="s">
        <v>105</v>
      </c>
      <c r="B72" s="45" t="s">
        <v>22</v>
      </c>
      <c r="C72" s="46">
        <v>45302</v>
      </c>
      <c r="D72" s="45" t="s">
        <v>14</v>
      </c>
      <c r="E72" s="45" t="s">
        <v>31</v>
      </c>
      <c r="F72" s="114">
        <v>4218</v>
      </c>
      <c r="G72" s="114">
        <v>247</v>
      </c>
      <c r="H72" s="114">
        <v>183</v>
      </c>
      <c r="I72" s="114">
        <v>28914</v>
      </c>
      <c r="J72" s="114">
        <v>18310</v>
      </c>
      <c r="K72" s="114">
        <v>135</v>
      </c>
      <c r="L72" s="45" t="s">
        <v>40</v>
      </c>
      <c r="M72" s="45"/>
      <c r="N72" s="45" t="s">
        <v>20</v>
      </c>
      <c r="O72" s="84">
        <v>0.1607525766064882</v>
      </c>
    </row>
    <row r="73" spans="1:15" x14ac:dyDescent="0.3">
      <c r="A73" s="41" t="s">
        <v>106</v>
      </c>
      <c r="B73" s="42" t="s">
        <v>13</v>
      </c>
      <c r="C73" s="43">
        <v>45576</v>
      </c>
      <c r="D73" s="42" t="s">
        <v>14</v>
      </c>
      <c r="E73" s="42" t="s">
        <v>44</v>
      </c>
      <c r="F73" s="113">
        <v>1360</v>
      </c>
      <c r="G73" s="113">
        <v>249</v>
      </c>
      <c r="H73" s="113">
        <v>52</v>
      </c>
      <c r="I73" s="113">
        <v>20368</v>
      </c>
      <c r="J73" s="113">
        <v>42152</v>
      </c>
      <c r="K73" s="113">
        <v>193</v>
      </c>
      <c r="L73" s="42" t="s">
        <v>19</v>
      </c>
      <c r="M73" s="42"/>
      <c r="N73" s="42" t="s">
        <v>20</v>
      </c>
      <c r="O73" s="83">
        <v>8.1549489395129612E-2</v>
      </c>
    </row>
    <row r="74" spans="1:15" x14ac:dyDescent="0.3">
      <c r="A74" s="41" t="s">
        <v>107</v>
      </c>
      <c r="B74" s="42" t="s">
        <v>28</v>
      </c>
      <c r="C74" s="43">
        <v>45783</v>
      </c>
      <c r="D74" s="42" t="s">
        <v>52</v>
      </c>
      <c r="E74" s="42" t="s">
        <v>15</v>
      </c>
      <c r="F74" s="113">
        <v>1085</v>
      </c>
      <c r="G74" s="113">
        <v>496</v>
      </c>
      <c r="H74" s="113">
        <v>320</v>
      </c>
      <c r="I74" s="113">
        <v>36528</v>
      </c>
      <c r="J74" s="113">
        <v>38599</v>
      </c>
      <c r="K74" s="113">
        <v>270</v>
      </c>
      <c r="L74" s="42" t="s">
        <v>19</v>
      </c>
      <c r="M74" s="42" t="s">
        <v>40</v>
      </c>
      <c r="N74" s="42" t="s">
        <v>53</v>
      </c>
      <c r="O74" s="83">
        <v>5.2042268944371438E-2</v>
      </c>
    </row>
    <row r="75" spans="1:15" x14ac:dyDescent="0.3">
      <c r="A75" s="44" t="s">
        <v>108</v>
      </c>
      <c r="B75" s="45" t="s">
        <v>22</v>
      </c>
      <c r="C75" s="46">
        <v>45431</v>
      </c>
      <c r="D75" s="45" t="s">
        <v>23</v>
      </c>
      <c r="E75" s="45" t="s">
        <v>33</v>
      </c>
      <c r="F75" s="114">
        <v>1763</v>
      </c>
      <c r="G75" s="114">
        <v>206</v>
      </c>
      <c r="H75" s="114">
        <v>187</v>
      </c>
      <c r="I75" s="114">
        <v>53342</v>
      </c>
      <c r="J75" s="114">
        <v>25095</v>
      </c>
      <c r="K75" s="114">
        <v>88</v>
      </c>
      <c r="L75" s="45" t="s">
        <v>19</v>
      </c>
      <c r="M75" s="45" t="s">
        <v>337</v>
      </c>
      <c r="N75" s="45" t="s">
        <v>16</v>
      </c>
      <c r="O75" s="84">
        <v>4.0418432004799221E-2</v>
      </c>
    </row>
    <row r="76" spans="1:15" x14ac:dyDescent="0.3">
      <c r="A76" s="44" t="s">
        <v>109</v>
      </c>
      <c r="B76" s="45" t="s">
        <v>22</v>
      </c>
      <c r="C76" s="46">
        <v>45313</v>
      </c>
      <c r="D76" s="45" t="s">
        <v>23</v>
      </c>
      <c r="E76" s="45" t="s">
        <v>44</v>
      </c>
      <c r="F76" s="114">
        <v>1554</v>
      </c>
      <c r="G76" s="114">
        <v>455</v>
      </c>
      <c r="H76" s="114">
        <v>158</v>
      </c>
      <c r="I76" s="114">
        <v>41947</v>
      </c>
      <c r="J76" s="114">
        <v>48578</v>
      </c>
      <c r="K76" s="114">
        <v>101</v>
      </c>
      <c r="L76" s="45" t="s">
        <v>40</v>
      </c>
      <c r="M76" s="45" t="s">
        <v>37</v>
      </c>
      <c r="N76" s="45" t="s">
        <v>16</v>
      </c>
      <c r="O76" s="84">
        <v>5.1660428636136076E-2</v>
      </c>
    </row>
    <row r="77" spans="1:15" x14ac:dyDescent="0.3">
      <c r="A77" s="44" t="s">
        <v>110</v>
      </c>
      <c r="B77" s="45" t="s">
        <v>13</v>
      </c>
      <c r="C77" s="46">
        <v>45487</v>
      </c>
      <c r="D77" s="45" t="s">
        <v>14</v>
      </c>
      <c r="E77" s="45" t="s">
        <v>26</v>
      </c>
      <c r="F77" s="114">
        <v>2464</v>
      </c>
      <c r="G77" s="114">
        <v>401</v>
      </c>
      <c r="H77" s="114">
        <v>78</v>
      </c>
      <c r="I77" s="114">
        <v>38665</v>
      </c>
      <c r="J77" s="114">
        <v>73593</v>
      </c>
      <c r="K77" s="114">
        <v>207</v>
      </c>
      <c r="L77" s="45" t="s">
        <v>19</v>
      </c>
      <c r="M77" s="45"/>
      <c r="N77" s="45" t="s">
        <v>20</v>
      </c>
      <c r="O77" s="84">
        <v>7.611534979956032E-2</v>
      </c>
    </row>
    <row r="78" spans="1:15" x14ac:dyDescent="0.3">
      <c r="A78" s="44" t="s">
        <v>111</v>
      </c>
      <c r="B78" s="45" t="s">
        <v>22</v>
      </c>
      <c r="C78" s="46">
        <v>45805</v>
      </c>
      <c r="D78" s="45" t="s">
        <v>14</v>
      </c>
      <c r="E78" s="45" t="s">
        <v>44</v>
      </c>
      <c r="F78" s="114">
        <v>2418</v>
      </c>
      <c r="G78" s="114">
        <v>161</v>
      </c>
      <c r="H78" s="114">
        <v>360</v>
      </c>
      <c r="I78" s="114">
        <v>30589</v>
      </c>
      <c r="J78" s="114">
        <v>41383</v>
      </c>
      <c r="K78" s="114">
        <v>88</v>
      </c>
      <c r="L78" s="45" t="s">
        <v>37</v>
      </c>
      <c r="M78" s="45"/>
      <c r="N78" s="45" t="s">
        <v>16</v>
      </c>
      <c r="O78" s="84">
        <v>9.6080290300434801E-2</v>
      </c>
    </row>
    <row r="79" spans="1:15" x14ac:dyDescent="0.3">
      <c r="A79" s="41" t="s">
        <v>112</v>
      </c>
      <c r="B79" s="42" t="s">
        <v>22</v>
      </c>
      <c r="C79" s="43">
        <v>45678</v>
      </c>
      <c r="D79" s="42" t="s">
        <v>23</v>
      </c>
      <c r="E79" s="42" t="s">
        <v>15</v>
      </c>
      <c r="F79" s="113">
        <v>2494</v>
      </c>
      <c r="G79" s="113">
        <v>494</v>
      </c>
      <c r="H79" s="113">
        <v>55</v>
      </c>
      <c r="I79" s="113">
        <v>22580</v>
      </c>
      <c r="J79" s="113">
        <v>22214</v>
      </c>
      <c r="K79" s="113">
        <v>109</v>
      </c>
      <c r="L79" s="42" t="s">
        <v>337</v>
      </c>
      <c r="M79" s="42" t="s">
        <v>37</v>
      </c>
      <c r="N79" s="42" t="s">
        <v>16</v>
      </c>
      <c r="O79" s="83">
        <v>0.13476527900797167</v>
      </c>
    </row>
    <row r="80" spans="1:15" x14ac:dyDescent="0.3">
      <c r="A80" s="44" t="s">
        <v>113</v>
      </c>
      <c r="B80" s="45" t="s">
        <v>28</v>
      </c>
      <c r="C80" s="46">
        <v>45304</v>
      </c>
      <c r="D80" s="45" t="s">
        <v>52</v>
      </c>
      <c r="E80" s="45" t="s">
        <v>24</v>
      </c>
      <c r="F80" s="114">
        <v>4781</v>
      </c>
      <c r="G80" s="114">
        <v>191</v>
      </c>
      <c r="H80" s="114">
        <v>122</v>
      </c>
      <c r="I80" s="114">
        <v>35535</v>
      </c>
      <c r="J80" s="114">
        <v>50777</v>
      </c>
      <c r="K80" s="114">
        <v>128</v>
      </c>
      <c r="L80" s="45" t="s">
        <v>19</v>
      </c>
      <c r="M80" s="45" t="s">
        <v>40</v>
      </c>
      <c r="N80" s="45" t="s">
        <v>53</v>
      </c>
      <c r="O80" s="84">
        <v>0.14335162515829464</v>
      </c>
    </row>
    <row r="81" spans="1:15" x14ac:dyDescent="0.3">
      <c r="A81" s="44" t="s">
        <v>114</v>
      </c>
      <c r="B81" s="45" t="s">
        <v>13</v>
      </c>
      <c r="C81" s="46">
        <v>45825</v>
      </c>
      <c r="D81" s="45" t="s">
        <v>14</v>
      </c>
      <c r="E81" s="45" t="s">
        <v>29</v>
      </c>
      <c r="F81" s="114">
        <v>2284</v>
      </c>
      <c r="G81" s="114">
        <v>187</v>
      </c>
      <c r="H81" s="114">
        <v>260</v>
      </c>
      <c r="I81" s="114">
        <v>37400</v>
      </c>
      <c r="J81" s="114">
        <v>65014</v>
      </c>
      <c r="K81" s="114">
        <v>157</v>
      </c>
      <c r="L81" s="45" t="s">
        <v>40</v>
      </c>
      <c r="M81" s="45" t="s">
        <v>37</v>
      </c>
      <c r="N81" s="45" t="s">
        <v>16</v>
      </c>
      <c r="O81" s="84">
        <v>7.3021390374331557E-2</v>
      </c>
    </row>
    <row r="82" spans="1:15" x14ac:dyDescent="0.3">
      <c r="A82" s="44" t="s">
        <v>115</v>
      </c>
      <c r="B82" s="45" t="s">
        <v>22</v>
      </c>
      <c r="C82" s="46">
        <v>45723</v>
      </c>
      <c r="D82" s="45" t="s">
        <v>14</v>
      </c>
      <c r="E82" s="45" t="s">
        <v>33</v>
      </c>
      <c r="F82" s="114">
        <v>4234</v>
      </c>
      <c r="G82" s="114">
        <v>486</v>
      </c>
      <c r="H82" s="114">
        <v>276</v>
      </c>
      <c r="I82" s="114">
        <v>56623</v>
      </c>
      <c r="J82" s="114">
        <v>41343</v>
      </c>
      <c r="K82" s="114">
        <v>184</v>
      </c>
      <c r="L82" s="45" t="s">
        <v>40</v>
      </c>
      <c r="M82" s="45"/>
      <c r="N82" s="45" t="s">
        <v>20</v>
      </c>
      <c r="O82" s="84">
        <v>8.8232696960599044E-2</v>
      </c>
    </row>
    <row r="83" spans="1:15" x14ac:dyDescent="0.3">
      <c r="A83" s="44" t="s">
        <v>116</v>
      </c>
      <c r="B83" s="45" t="s">
        <v>13</v>
      </c>
      <c r="C83" s="46">
        <v>45530</v>
      </c>
      <c r="D83" s="45" t="s">
        <v>14</v>
      </c>
      <c r="E83" s="45" t="s">
        <v>46</v>
      </c>
      <c r="F83" s="114">
        <v>2102</v>
      </c>
      <c r="G83" s="114">
        <v>181</v>
      </c>
      <c r="H83" s="114">
        <v>306</v>
      </c>
      <c r="I83" s="114">
        <v>43650</v>
      </c>
      <c r="J83" s="114">
        <v>50079</v>
      </c>
      <c r="K83" s="114">
        <v>182</v>
      </c>
      <c r="L83" s="45" t="s">
        <v>19</v>
      </c>
      <c r="M83" s="45"/>
      <c r="N83" s="45" t="s">
        <v>20</v>
      </c>
      <c r="O83" s="84">
        <v>5.9312714776632303E-2</v>
      </c>
    </row>
    <row r="84" spans="1:15" x14ac:dyDescent="0.3">
      <c r="A84" s="44" t="s">
        <v>117</v>
      </c>
      <c r="B84" s="45" t="s">
        <v>22</v>
      </c>
      <c r="C84" s="46">
        <v>45660</v>
      </c>
      <c r="D84" s="45" t="s">
        <v>23</v>
      </c>
      <c r="E84" s="45" t="s">
        <v>33</v>
      </c>
      <c r="F84" s="114">
        <v>4845</v>
      </c>
      <c r="G84" s="114">
        <v>158</v>
      </c>
      <c r="H84" s="114">
        <v>84</v>
      </c>
      <c r="I84" s="114">
        <v>34578</v>
      </c>
      <c r="J84" s="114">
        <v>51480</v>
      </c>
      <c r="K84" s="114">
        <v>180</v>
      </c>
      <c r="L84" s="45" t="s">
        <v>40</v>
      </c>
      <c r="M84" s="45" t="s">
        <v>37</v>
      </c>
      <c r="N84" s="45" t="s">
        <v>16</v>
      </c>
      <c r="O84" s="84">
        <v>0.1471166637746544</v>
      </c>
    </row>
    <row r="85" spans="1:15" x14ac:dyDescent="0.3">
      <c r="A85" s="44" t="s">
        <v>118</v>
      </c>
      <c r="B85" s="45" t="s">
        <v>22</v>
      </c>
      <c r="C85" s="46">
        <v>45507</v>
      </c>
      <c r="D85" s="45" t="s">
        <v>14</v>
      </c>
      <c r="E85" s="45" t="s">
        <v>46</v>
      </c>
      <c r="F85" s="114">
        <v>4247</v>
      </c>
      <c r="G85" s="114">
        <v>390</v>
      </c>
      <c r="H85" s="114">
        <v>213</v>
      </c>
      <c r="I85" s="114">
        <v>29785</v>
      </c>
      <c r="J85" s="114">
        <v>57768</v>
      </c>
      <c r="K85" s="114">
        <v>122</v>
      </c>
      <c r="L85" s="45" t="s">
        <v>37</v>
      </c>
      <c r="M85" s="45"/>
      <c r="N85" s="45" t="s">
        <v>16</v>
      </c>
      <c r="O85" s="84">
        <v>0.16283364109451065</v>
      </c>
    </row>
    <row r="86" spans="1:15" x14ac:dyDescent="0.3">
      <c r="A86" s="41" t="s">
        <v>119</v>
      </c>
      <c r="B86" s="42" t="s">
        <v>13</v>
      </c>
      <c r="C86" s="43">
        <v>45522</v>
      </c>
      <c r="D86" s="42" t="s">
        <v>14</v>
      </c>
      <c r="E86" s="42" t="s">
        <v>18</v>
      </c>
      <c r="F86" s="113">
        <v>2965</v>
      </c>
      <c r="G86" s="113">
        <v>328</v>
      </c>
      <c r="H86" s="113">
        <v>171</v>
      </c>
      <c r="I86" s="113">
        <v>57685</v>
      </c>
      <c r="J86" s="113">
        <v>67536</v>
      </c>
      <c r="K86" s="113">
        <v>264</v>
      </c>
      <c r="L86" s="42" t="s">
        <v>40</v>
      </c>
      <c r="M86" s="42" t="s">
        <v>37</v>
      </c>
      <c r="N86" s="42" t="s">
        <v>16</v>
      </c>
      <c r="O86" s="83">
        <v>6.0050273034584378E-2</v>
      </c>
    </row>
    <row r="87" spans="1:15" x14ac:dyDescent="0.3">
      <c r="A87" s="41" t="s">
        <v>120</v>
      </c>
      <c r="B87" s="42" t="s">
        <v>22</v>
      </c>
      <c r="C87" s="43">
        <v>45791</v>
      </c>
      <c r="D87" s="42" t="s">
        <v>23</v>
      </c>
      <c r="E87" s="42" t="s">
        <v>26</v>
      </c>
      <c r="F87" s="113">
        <v>1371</v>
      </c>
      <c r="G87" s="113">
        <v>139</v>
      </c>
      <c r="H87" s="113">
        <v>96</v>
      </c>
      <c r="I87" s="113">
        <v>36140</v>
      </c>
      <c r="J87" s="113">
        <v>39395</v>
      </c>
      <c r="K87" s="113">
        <v>169</v>
      </c>
      <c r="L87" s="42" t="s">
        <v>40</v>
      </c>
      <c r="M87" s="42" t="s">
        <v>37</v>
      </c>
      <c r="N87" s="42" t="s">
        <v>16</v>
      </c>
      <c r="O87" s="83">
        <v>4.4438295517432211E-2</v>
      </c>
    </row>
    <row r="88" spans="1:15" x14ac:dyDescent="0.3">
      <c r="A88" s="44" t="s">
        <v>121</v>
      </c>
      <c r="B88" s="45" t="s">
        <v>22</v>
      </c>
      <c r="C88" s="46">
        <v>45405</v>
      </c>
      <c r="D88" s="45" t="s">
        <v>23</v>
      </c>
      <c r="E88" s="45" t="s">
        <v>15</v>
      </c>
      <c r="F88" s="114">
        <v>2683</v>
      </c>
      <c r="G88" s="114">
        <v>496</v>
      </c>
      <c r="H88" s="114">
        <v>89</v>
      </c>
      <c r="I88" s="114">
        <v>53435</v>
      </c>
      <c r="J88" s="114">
        <v>30334</v>
      </c>
      <c r="K88" s="114">
        <v>160</v>
      </c>
      <c r="L88" s="45" t="s">
        <v>40</v>
      </c>
      <c r="M88" s="45" t="s">
        <v>37</v>
      </c>
      <c r="N88" s="45" t="s">
        <v>16</v>
      </c>
      <c r="O88" s="84">
        <v>6.1158416768035934E-2</v>
      </c>
    </row>
    <row r="89" spans="1:15" x14ac:dyDescent="0.3">
      <c r="A89" s="41" t="s">
        <v>122</v>
      </c>
      <c r="B89" s="42" t="s">
        <v>22</v>
      </c>
      <c r="C89" s="43">
        <v>45705</v>
      </c>
      <c r="D89" s="42" t="s">
        <v>23</v>
      </c>
      <c r="E89" s="42" t="s">
        <v>31</v>
      </c>
      <c r="F89" s="113">
        <v>4796</v>
      </c>
      <c r="G89" s="113">
        <v>427</v>
      </c>
      <c r="H89" s="113">
        <v>339</v>
      </c>
      <c r="I89" s="113">
        <v>30752</v>
      </c>
      <c r="J89" s="113">
        <v>33870</v>
      </c>
      <c r="K89" s="113">
        <v>298</v>
      </c>
      <c r="L89" s="42" t="s">
        <v>40</v>
      </c>
      <c r="M89" s="42" t="s">
        <v>37</v>
      </c>
      <c r="N89" s="42" t="s">
        <v>16</v>
      </c>
      <c r="O89" s="83">
        <v>0.18086628511966701</v>
      </c>
    </row>
    <row r="90" spans="1:15" x14ac:dyDescent="0.3">
      <c r="A90" s="41" t="s">
        <v>123</v>
      </c>
      <c r="B90" s="42" t="s">
        <v>13</v>
      </c>
      <c r="C90" s="43">
        <v>45630</v>
      </c>
      <c r="D90" s="42" t="s">
        <v>14</v>
      </c>
      <c r="E90" s="42" t="s">
        <v>26</v>
      </c>
      <c r="F90" s="113">
        <v>2601</v>
      </c>
      <c r="G90" s="113">
        <v>336</v>
      </c>
      <c r="H90" s="113">
        <v>260</v>
      </c>
      <c r="I90" s="113">
        <v>32368</v>
      </c>
      <c r="J90" s="113">
        <v>49028</v>
      </c>
      <c r="K90" s="113">
        <v>120</v>
      </c>
      <c r="L90" s="42" t="s">
        <v>40</v>
      </c>
      <c r="M90" s="42" t="s">
        <v>37</v>
      </c>
      <c r="N90" s="42" t="s">
        <v>16</v>
      </c>
      <c r="O90" s="83">
        <v>9.8770390509144837E-2</v>
      </c>
    </row>
    <row r="91" spans="1:15" x14ac:dyDescent="0.3">
      <c r="A91" s="41" t="s">
        <v>124</v>
      </c>
      <c r="B91" s="42" t="s">
        <v>22</v>
      </c>
      <c r="C91" s="43">
        <v>45495</v>
      </c>
      <c r="D91" s="42" t="s">
        <v>23</v>
      </c>
      <c r="E91" s="42" t="s">
        <v>26</v>
      </c>
      <c r="F91" s="113">
        <v>3336</v>
      </c>
      <c r="G91" s="113">
        <v>229</v>
      </c>
      <c r="H91" s="113">
        <v>337</v>
      </c>
      <c r="I91" s="113">
        <v>22117</v>
      </c>
      <c r="J91" s="113">
        <v>26205</v>
      </c>
      <c r="K91" s="113">
        <v>160</v>
      </c>
      <c r="L91" s="42" t="s">
        <v>337</v>
      </c>
      <c r="M91" s="42" t="s">
        <v>37</v>
      </c>
      <c r="N91" s="42" t="s">
        <v>16</v>
      </c>
      <c r="O91" s="83">
        <v>0.17642537414658407</v>
      </c>
    </row>
    <row r="92" spans="1:15" x14ac:dyDescent="0.3">
      <c r="A92" s="44" t="s">
        <v>125</v>
      </c>
      <c r="B92" s="45" t="s">
        <v>22</v>
      </c>
      <c r="C92" s="46">
        <v>45774</v>
      </c>
      <c r="D92" s="45" t="s">
        <v>14</v>
      </c>
      <c r="E92" s="45" t="s">
        <v>18</v>
      </c>
      <c r="F92" s="114">
        <v>1165</v>
      </c>
      <c r="G92" s="114">
        <v>294</v>
      </c>
      <c r="H92" s="114">
        <v>163</v>
      </c>
      <c r="I92" s="114">
        <v>20659</v>
      </c>
      <c r="J92" s="114">
        <v>45926</v>
      </c>
      <c r="K92" s="114">
        <v>111</v>
      </c>
      <c r="L92" s="45" t="s">
        <v>40</v>
      </c>
      <c r="M92" s="45"/>
      <c r="N92" s="45" t="s">
        <v>20</v>
      </c>
      <c r="O92" s="84">
        <v>7.8512996756861422E-2</v>
      </c>
    </row>
    <row r="93" spans="1:15" x14ac:dyDescent="0.3">
      <c r="A93" s="41" t="s">
        <v>126</v>
      </c>
      <c r="B93" s="42" t="s">
        <v>28</v>
      </c>
      <c r="C93" s="43">
        <v>45376</v>
      </c>
      <c r="D93" s="42" t="s">
        <v>52</v>
      </c>
      <c r="E93" s="42" t="s">
        <v>18</v>
      </c>
      <c r="F93" s="113">
        <v>1948</v>
      </c>
      <c r="G93" s="113">
        <v>155</v>
      </c>
      <c r="H93" s="113">
        <v>315</v>
      </c>
      <c r="I93" s="113">
        <v>30321</v>
      </c>
      <c r="J93" s="113">
        <v>57121</v>
      </c>
      <c r="K93" s="113">
        <v>82</v>
      </c>
      <c r="L93" s="42" t="s">
        <v>19</v>
      </c>
      <c r="M93" s="42" t="s">
        <v>40</v>
      </c>
      <c r="N93" s="42" t="s">
        <v>53</v>
      </c>
      <c r="O93" s="83">
        <v>7.974671020085089E-2</v>
      </c>
    </row>
    <row r="94" spans="1:15" x14ac:dyDescent="0.3">
      <c r="A94" s="44" t="s">
        <v>127</v>
      </c>
      <c r="B94" s="45" t="s">
        <v>13</v>
      </c>
      <c r="C94" s="46">
        <v>45351</v>
      </c>
      <c r="D94" s="45" t="s">
        <v>14</v>
      </c>
      <c r="E94" s="45" t="s">
        <v>44</v>
      </c>
      <c r="F94" s="114">
        <v>1100</v>
      </c>
      <c r="G94" s="114">
        <v>229</v>
      </c>
      <c r="H94" s="114">
        <v>312</v>
      </c>
      <c r="I94" s="114">
        <v>25641</v>
      </c>
      <c r="J94" s="114">
        <v>34601</v>
      </c>
      <c r="K94" s="114">
        <v>169</v>
      </c>
      <c r="L94" s="45" t="s">
        <v>19</v>
      </c>
      <c r="M94" s="45"/>
      <c r="N94" s="45" t="s">
        <v>20</v>
      </c>
      <c r="O94" s="84">
        <v>6.3999063999063993E-2</v>
      </c>
    </row>
    <row r="95" spans="1:15" x14ac:dyDescent="0.3">
      <c r="A95" s="41" t="s">
        <v>128</v>
      </c>
      <c r="B95" s="42" t="s">
        <v>22</v>
      </c>
      <c r="C95" s="43">
        <v>45609</v>
      </c>
      <c r="D95" s="42" t="s">
        <v>23</v>
      </c>
      <c r="E95" s="42" t="s">
        <v>36</v>
      </c>
      <c r="F95" s="113">
        <v>4628</v>
      </c>
      <c r="G95" s="113">
        <v>257</v>
      </c>
      <c r="H95" s="113">
        <v>397</v>
      </c>
      <c r="I95" s="113">
        <v>36686</v>
      </c>
      <c r="J95" s="113">
        <v>54683</v>
      </c>
      <c r="K95" s="113">
        <v>98</v>
      </c>
      <c r="L95" s="42" t="s">
        <v>40</v>
      </c>
      <c r="M95" s="42" t="s">
        <v>37</v>
      </c>
      <c r="N95" s="42" t="s">
        <v>16</v>
      </c>
      <c r="O95" s="83">
        <v>0.1439786294499264</v>
      </c>
    </row>
    <row r="96" spans="1:15" x14ac:dyDescent="0.3">
      <c r="A96" s="41" t="s">
        <v>129</v>
      </c>
      <c r="B96" s="42" t="s">
        <v>13</v>
      </c>
      <c r="C96" s="43">
        <v>45373</v>
      </c>
      <c r="D96" s="42" t="s">
        <v>23</v>
      </c>
      <c r="E96" s="42" t="s">
        <v>15</v>
      </c>
      <c r="F96" s="113">
        <v>2319</v>
      </c>
      <c r="G96" s="113">
        <v>484</v>
      </c>
      <c r="H96" s="113">
        <v>193</v>
      </c>
      <c r="I96" s="113">
        <v>21202</v>
      </c>
      <c r="J96" s="113">
        <v>18091</v>
      </c>
      <c r="K96" s="113">
        <v>241</v>
      </c>
      <c r="L96" s="42" t="s">
        <v>37</v>
      </c>
      <c r="M96" s="42"/>
      <c r="N96" s="42" t="s">
        <v>50</v>
      </c>
      <c r="O96" s="83">
        <v>0.14130742382794076</v>
      </c>
    </row>
    <row r="97" spans="1:15" x14ac:dyDescent="0.3">
      <c r="A97" s="44" t="s">
        <v>130</v>
      </c>
      <c r="B97" s="45" t="s">
        <v>22</v>
      </c>
      <c r="C97" s="46">
        <v>45367</v>
      </c>
      <c r="D97" s="45" t="s">
        <v>23</v>
      </c>
      <c r="E97" s="45" t="s">
        <v>26</v>
      </c>
      <c r="F97" s="114">
        <v>2895</v>
      </c>
      <c r="G97" s="114">
        <v>292</v>
      </c>
      <c r="H97" s="114">
        <v>90</v>
      </c>
      <c r="I97" s="114">
        <v>24223</v>
      </c>
      <c r="J97" s="114">
        <v>54626</v>
      </c>
      <c r="K97" s="114">
        <v>114</v>
      </c>
      <c r="L97" s="45" t="s">
        <v>40</v>
      </c>
      <c r="M97" s="45" t="s">
        <v>37</v>
      </c>
      <c r="N97" s="45" t="s">
        <v>16</v>
      </c>
      <c r="O97" s="84">
        <v>0.13528464682326713</v>
      </c>
    </row>
    <row r="98" spans="1:15" x14ac:dyDescent="0.3">
      <c r="A98" s="44" t="s">
        <v>131</v>
      </c>
      <c r="B98" s="45" t="s">
        <v>13</v>
      </c>
      <c r="C98" s="46">
        <v>45317</v>
      </c>
      <c r="D98" s="45" t="s">
        <v>14</v>
      </c>
      <c r="E98" s="45" t="s">
        <v>31</v>
      </c>
      <c r="F98" s="114">
        <v>3878</v>
      </c>
      <c r="G98" s="114">
        <v>431</v>
      </c>
      <c r="H98" s="114">
        <v>97</v>
      </c>
      <c r="I98" s="114">
        <v>41763</v>
      </c>
      <c r="J98" s="114">
        <v>29729</v>
      </c>
      <c r="K98" s="114">
        <v>191</v>
      </c>
      <c r="L98" s="45" t="s">
        <v>19</v>
      </c>
      <c r="M98" s="45"/>
      <c r="N98" s="45" t="s">
        <v>20</v>
      </c>
      <c r="O98" s="84">
        <v>0.10550008380623997</v>
      </c>
    </row>
    <row r="99" spans="1:15" x14ac:dyDescent="0.3">
      <c r="A99" s="41" t="s">
        <v>132</v>
      </c>
      <c r="B99" s="42" t="s">
        <v>22</v>
      </c>
      <c r="C99" s="43">
        <v>45366</v>
      </c>
      <c r="D99" s="42" t="s">
        <v>23</v>
      </c>
      <c r="E99" s="42" t="s">
        <v>33</v>
      </c>
      <c r="F99" s="113">
        <v>4969</v>
      </c>
      <c r="G99" s="113">
        <v>433</v>
      </c>
      <c r="H99" s="113">
        <v>237</v>
      </c>
      <c r="I99" s="113">
        <v>59552</v>
      </c>
      <c r="J99" s="113">
        <v>23885</v>
      </c>
      <c r="K99" s="113">
        <v>157</v>
      </c>
      <c r="L99" s="42" t="s">
        <v>19</v>
      </c>
      <c r="M99" s="42" t="s">
        <v>337</v>
      </c>
      <c r="N99" s="42" t="s">
        <v>16</v>
      </c>
      <c r="O99" s="83">
        <v>9.4690354648038683E-2</v>
      </c>
    </row>
    <row r="100" spans="1:15" x14ac:dyDescent="0.3">
      <c r="A100" s="41" t="s">
        <v>133</v>
      </c>
      <c r="B100" s="42" t="s">
        <v>22</v>
      </c>
      <c r="C100" s="43">
        <v>45580</v>
      </c>
      <c r="D100" s="42" t="s">
        <v>14</v>
      </c>
      <c r="E100" s="42" t="s">
        <v>26</v>
      </c>
      <c r="F100" s="113">
        <v>1984</v>
      </c>
      <c r="G100" s="113">
        <v>481</v>
      </c>
      <c r="H100" s="113">
        <v>356</v>
      </c>
      <c r="I100" s="113">
        <v>40681</v>
      </c>
      <c r="J100" s="113">
        <v>63111</v>
      </c>
      <c r="K100" s="113">
        <v>258</v>
      </c>
      <c r="L100" s="42" t="s">
        <v>37</v>
      </c>
      <c r="M100" s="42"/>
      <c r="N100" s="42" t="s">
        <v>16</v>
      </c>
      <c r="O100" s="83">
        <v>6.934441139598338E-2</v>
      </c>
    </row>
    <row r="101" spans="1:15" x14ac:dyDescent="0.3">
      <c r="A101" s="41" t="s">
        <v>134</v>
      </c>
      <c r="B101" s="42" t="s">
        <v>13</v>
      </c>
      <c r="C101" s="43">
        <v>45494</v>
      </c>
      <c r="D101" s="42" t="s">
        <v>14</v>
      </c>
      <c r="E101" s="42" t="s">
        <v>15</v>
      </c>
      <c r="F101" s="113">
        <v>3004</v>
      </c>
      <c r="G101" s="113">
        <v>415</v>
      </c>
      <c r="H101" s="113">
        <v>218</v>
      </c>
      <c r="I101" s="113">
        <v>36090</v>
      </c>
      <c r="J101" s="113">
        <v>37073</v>
      </c>
      <c r="K101" s="113">
        <v>181</v>
      </c>
      <c r="L101" s="42" t="s">
        <v>19</v>
      </c>
      <c r="M101" s="42"/>
      <c r="N101" s="42" t="s">
        <v>20</v>
      </c>
      <c r="O101" s="83">
        <v>0.10077583818232197</v>
      </c>
    </row>
    <row r="102" spans="1:15" x14ac:dyDescent="0.3">
      <c r="A102" s="41" t="s">
        <v>135</v>
      </c>
      <c r="B102" s="42" t="s">
        <v>22</v>
      </c>
      <c r="C102" s="43">
        <v>45577</v>
      </c>
      <c r="D102" s="42" t="s">
        <v>14</v>
      </c>
      <c r="E102" s="42" t="s">
        <v>33</v>
      </c>
      <c r="F102" s="113">
        <v>3169</v>
      </c>
      <c r="G102" s="113">
        <v>386</v>
      </c>
      <c r="H102" s="113">
        <v>175</v>
      </c>
      <c r="I102" s="113">
        <v>45012</v>
      </c>
      <c r="J102" s="113">
        <v>38508</v>
      </c>
      <c r="K102" s="113">
        <v>218</v>
      </c>
      <c r="L102" s="42" t="s">
        <v>37</v>
      </c>
      <c r="M102" s="42"/>
      <c r="N102" s="42" t="s">
        <v>16</v>
      </c>
      <c r="O102" s="83">
        <v>8.2866791077934779E-2</v>
      </c>
    </row>
    <row r="103" spans="1:15" x14ac:dyDescent="0.3">
      <c r="A103" s="41" t="s">
        <v>136</v>
      </c>
      <c r="B103" s="42" t="s">
        <v>22</v>
      </c>
      <c r="C103" s="43">
        <v>45591</v>
      </c>
      <c r="D103" s="42" t="s">
        <v>14</v>
      </c>
      <c r="E103" s="42" t="s">
        <v>15</v>
      </c>
      <c r="F103" s="113">
        <v>3036</v>
      </c>
      <c r="G103" s="113">
        <v>293</v>
      </c>
      <c r="H103" s="113">
        <v>115</v>
      </c>
      <c r="I103" s="113">
        <v>23776</v>
      </c>
      <c r="J103" s="113">
        <v>46386</v>
      </c>
      <c r="K103" s="113">
        <v>282</v>
      </c>
      <c r="L103" s="42" t="s">
        <v>37</v>
      </c>
      <c r="M103" s="42"/>
      <c r="N103" s="42" t="s">
        <v>16</v>
      </c>
      <c r="O103" s="83">
        <v>0.14485195154777927</v>
      </c>
    </row>
    <row r="104" spans="1:15" x14ac:dyDescent="0.3">
      <c r="A104" s="44" t="s">
        <v>137</v>
      </c>
      <c r="B104" s="45" t="s">
        <v>13</v>
      </c>
      <c r="C104" s="46">
        <v>45336</v>
      </c>
      <c r="D104" s="45" t="s">
        <v>14</v>
      </c>
      <c r="E104" s="45" t="s">
        <v>29</v>
      </c>
      <c r="F104" s="114">
        <v>1830</v>
      </c>
      <c r="G104" s="114">
        <v>112</v>
      </c>
      <c r="H104" s="114">
        <v>181</v>
      </c>
      <c r="I104" s="114">
        <v>31870</v>
      </c>
      <c r="J104" s="114">
        <v>55742</v>
      </c>
      <c r="K104" s="114">
        <v>263</v>
      </c>
      <c r="L104" s="45" t="s">
        <v>40</v>
      </c>
      <c r="M104" s="45" t="s">
        <v>37</v>
      </c>
      <c r="N104" s="45" t="s">
        <v>16</v>
      </c>
      <c r="O104" s="84">
        <v>6.6614370881706936E-2</v>
      </c>
    </row>
    <row r="105" spans="1:15" x14ac:dyDescent="0.3">
      <c r="A105" s="44" t="s">
        <v>138</v>
      </c>
      <c r="B105" s="45" t="s">
        <v>22</v>
      </c>
      <c r="C105" s="46">
        <v>45413</v>
      </c>
      <c r="D105" s="45" t="s">
        <v>23</v>
      </c>
      <c r="E105" s="45" t="s">
        <v>31</v>
      </c>
      <c r="F105" s="114">
        <v>2587</v>
      </c>
      <c r="G105" s="114">
        <v>447</v>
      </c>
      <c r="H105" s="114">
        <v>183</v>
      </c>
      <c r="I105" s="114">
        <v>36266</v>
      </c>
      <c r="J105" s="114">
        <v>32877</v>
      </c>
      <c r="K105" s="114">
        <v>132</v>
      </c>
      <c r="L105" s="45" t="s">
        <v>19</v>
      </c>
      <c r="M105" s="45" t="s">
        <v>337</v>
      </c>
      <c r="N105" s="45" t="s">
        <v>16</v>
      </c>
      <c r="O105" s="84">
        <v>8.8705674736667947E-2</v>
      </c>
    </row>
    <row r="106" spans="1:15" x14ac:dyDescent="0.3">
      <c r="A106" s="44" t="s">
        <v>139</v>
      </c>
      <c r="B106" s="45" t="s">
        <v>22</v>
      </c>
      <c r="C106" s="46">
        <v>45553</v>
      </c>
      <c r="D106" s="45" t="s">
        <v>14</v>
      </c>
      <c r="E106" s="45" t="s">
        <v>15</v>
      </c>
      <c r="F106" s="114">
        <v>2878</v>
      </c>
      <c r="G106" s="114">
        <v>265</v>
      </c>
      <c r="H106" s="114">
        <v>91</v>
      </c>
      <c r="I106" s="114">
        <v>52090</v>
      </c>
      <c r="J106" s="114">
        <v>28924</v>
      </c>
      <c r="K106" s="114">
        <v>133</v>
      </c>
      <c r="L106" s="45" t="s">
        <v>37</v>
      </c>
      <c r="M106" s="45"/>
      <c r="N106" s="45" t="s">
        <v>16</v>
      </c>
      <c r="O106" s="84">
        <v>6.2084853138798232E-2</v>
      </c>
    </row>
    <row r="107" spans="1:15" x14ac:dyDescent="0.3">
      <c r="A107" s="44" t="s">
        <v>140</v>
      </c>
      <c r="B107" s="45" t="s">
        <v>22</v>
      </c>
      <c r="C107" s="46">
        <v>45677</v>
      </c>
      <c r="D107" s="45" t="s">
        <v>23</v>
      </c>
      <c r="E107" s="45" t="s">
        <v>24</v>
      </c>
      <c r="F107" s="114">
        <v>4619</v>
      </c>
      <c r="G107" s="114">
        <v>272</v>
      </c>
      <c r="H107" s="114">
        <v>57</v>
      </c>
      <c r="I107" s="114">
        <v>21334</v>
      </c>
      <c r="J107" s="114">
        <v>46292</v>
      </c>
      <c r="K107" s="114">
        <v>91</v>
      </c>
      <c r="L107" s="45" t="s">
        <v>40</v>
      </c>
      <c r="M107" s="45" t="s">
        <v>37</v>
      </c>
      <c r="N107" s="45" t="s">
        <v>16</v>
      </c>
      <c r="O107" s="84">
        <v>0.23193025217961938</v>
      </c>
    </row>
    <row r="108" spans="1:15" x14ac:dyDescent="0.3">
      <c r="A108" s="41" t="s">
        <v>141</v>
      </c>
      <c r="B108" s="42" t="s">
        <v>22</v>
      </c>
      <c r="C108" s="43">
        <v>45670</v>
      </c>
      <c r="D108" s="42" t="s">
        <v>14</v>
      </c>
      <c r="E108" s="42" t="s">
        <v>29</v>
      </c>
      <c r="F108" s="113">
        <v>4090</v>
      </c>
      <c r="G108" s="113">
        <v>209</v>
      </c>
      <c r="H108" s="113">
        <v>278</v>
      </c>
      <c r="I108" s="113">
        <v>52853</v>
      </c>
      <c r="J108" s="113">
        <v>57084</v>
      </c>
      <c r="K108" s="113">
        <v>102</v>
      </c>
      <c r="L108" s="42" t="s">
        <v>40</v>
      </c>
      <c r="M108" s="42"/>
      <c r="N108" s="42" t="s">
        <v>20</v>
      </c>
      <c r="O108" s="83">
        <v>8.6598679355949518E-2</v>
      </c>
    </row>
    <row r="109" spans="1:15" x14ac:dyDescent="0.3">
      <c r="A109" s="41" t="s">
        <v>142</v>
      </c>
      <c r="B109" s="42" t="s">
        <v>28</v>
      </c>
      <c r="C109" s="43">
        <v>45542</v>
      </c>
      <c r="D109" s="42" t="s">
        <v>52</v>
      </c>
      <c r="E109" s="42" t="s">
        <v>29</v>
      </c>
      <c r="F109" s="113">
        <v>3882</v>
      </c>
      <c r="G109" s="113">
        <v>342</v>
      </c>
      <c r="H109" s="113">
        <v>374</v>
      </c>
      <c r="I109" s="113">
        <v>41991</v>
      </c>
      <c r="J109" s="113">
        <v>48554</v>
      </c>
      <c r="K109" s="113">
        <v>118</v>
      </c>
      <c r="L109" s="42" t="s">
        <v>19</v>
      </c>
      <c r="M109" s="42" t="s">
        <v>40</v>
      </c>
      <c r="N109" s="42" t="s">
        <v>53</v>
      </c>
      <c r="O109" s="83">
        <v>0.10949965468790931</v>
      </c>
    </row>
    <row r="110" spans="1:15" x14ac:dyDescent="0.3">
      <c r="A110" s="41" t="s">
        <v>143</v>
      </c>
      <c r="B110" s="42" t="s">
        <v>13</v>
      </c>
      <c r="C110" s="43">
        <v>45617</v>
      </c>
      <c r="D110" s="42" t="s">
        <v>14</v>
      </c>
      <c r="E110" s="42" t="s">
        <v>29</v>
      </c>
      <c r="F110" s="113">
        <v>4581</v>
      </c>
      <c r="G110" s="113">
        <v>181</v>
      </c>
      <c r="H110" s="113">
        <v>112</v>
      </c>
      <c r="I110" s="113">
        <v>35221</v>
      </c>
      <c r="J110" s="113">
        <v>28797</v>
      </c>
      <c r="K110" s="113">
        <v>164</v>
      </c>
      <c r="L110" s="42" t="s">
        <v>40</v>
      </c>
      <c r="M110" s="42" t="s">
        <v>37</v>
      </c>
      <c r="N110" s="42" t="s">
        <v>16</v>
      </c>
      <c r="O110" s="83">
        <v>0.13838335084182732</v>
      </c>
    </row>
    <row r="111" spans="1:15" x14ac:dyDescent="0.3">
      <c r="A111" s="41" t="s">
        <v>144</v>
      </c>
      <c r="B111" s="42" t="s">
        <v>13</v>
      </c>
      <c r="C111" s="43">
        <v>45469</v>
      </c>
      <c r="D111" s="42" t="s">
        <v>14</v>
      </c>
      <c r="E111" s="42" t="s">
        <v>24</v>
      </c>
      <c r="F111" s="113">
        <v>3253</v>
      </c>
      <c r="G111" s="113">
        <v>483</v>
      </c>
      <c r="H111" s="113">
        <v>336</v>
      </c>
      <c r="I111" s="113">
        <v>25397</v>
      </c>
      <c r="J111" s="113">
        <v>51485</v>
      </c>
      <c r="K111" s="113">
        <v>131</v>
      </c>
      <c r="L111" s="42" t="s">
        <v>19</v>
      </c>
      <c r="M111" s="42"/>
      <c r="N111" s="42" t="s">
        <v>20</v>
      </c>
      <c r="O111" s="83">
        <v>0.16033389770445328</v>
      </c>
    </row>
    <row r="112" spans="1:15" x14ac:dyDescent="0.3">
      <c r="A112" s="44" t="s">
        <v>145</v>
      </c>
      <c r="B112" s="45" t="s">
        <v>28</v>
      </c>
      <c r="C112" s="46">
        <v>45493</v>
      </c>
      <c r="D112" s="45" t="s">
        <v>52</v>
      </c>
      <c r="E112" s="45" t="s">
        <v>29</v>
      </c>
      <c r="F112" s="114">
        <v>4955</v>
      </c>
      <c r="G112" s="114">
        <v>299</v>
      </c>
      <c r="H112" s="114">
        <v>345</v>
      </c>
      <c r="I112" s="114">
        <v>33644</v>
      </c>
      <c r="J112" s="114">
        <v>43547</v>
      </c>
      <c r="K112" s="114">
        <v>194</v>
      </c>
      <c r="L112" s="45" t="s">
        <v>19</v>
      </c>
      <c r="M112" s="45" t="s">
        <v>40</v>
      </c>
      <c r="N112" s="45" t="s">
        <v>53</v>
      </c>
      <c r="O112" s="84">
        <v>0.16641897515158721</v>
      </c>
    </row>
    <row r="113" spans="1:15" x14ac:dyDescent="0.3">
      <c r="A113" s="41" t="s">
        <v>146</v>
      </c>
      <c r="B113" s="42" t="s">
        <v>13</v>
      </c>
      <c r="C113" s="43">
        <v>45704</v>
      </c>
      <c r="D113" s="42" t="s">
        <v>14</v>
      </c>
      <c r="E113" s="42" t="s">
        <v>46</v>
      </c>
      <c r="F113" s="113">
        <v>1333</v>
      </c>
      <c r="G113" s="113">
        <v>286</v>
      </c>
      <c r="H113" s="113">
        <v>298</v>
      </c>
      <c r="I113" s="113">
        <v>36174</v>
      </c>
      <c r="J113" s="113">
        <v>34517</v>
      </c>
      <c r="K113" s="113">
        <v>170</v>
      </c>
      <c r="L113" s="42" t="s">
        <v>40</v>
      </c>
      <c r="M113" s="42" t="s">
        <v>37</v>
      </c>
      <c r="N113" s="42" t="s">
        <v>16</v>
      </c>
      <c r="O113" s="83">
        <v>5.2993862995521647E-2</v>
      </c>
    </row>
    <row r="114" spans="1:15" x14ac:dyDescent="0.3">
      <c r="A114" s="44" t="s">
        <v>147</v>
      </c>
      <c r="B114" s="45" t="s">
        <v>13</v>
      </c>
      <c r="C114" s="46">
        <v>45544</v>
      </c>
      <c r="D114" s="45" t="s">
        <v>14</v>
      </c>
      <c r="E114" s="45" t="s">
        <v>24</v>
      </c>
      <c r="F114" s="114">
        <v>1616</v>
      </c>
      <c r="G114" s="114">
        <v>360</v>
      </c>
      <c r="H114" s="114">
        <v>180</v>
      </c>
      <c r="I114" s="114">
        <v>54342</v>
      </c>
      <c r="J114" s="114">
        <v>18796</v>
      </c>
      <c r="K114" s="114">
        <v>282</v>
      </c>
      <c r="L114" s="45" t="s">
        <v>40</v>
      </c>
      <c r="M114" s="45" t="s">
        <v>37</v>
      </c>
      <c r="N114" s="45" t="s">
        <v>16</v>
      </c>
      <c r="O114" s="84">
        <v>3.9674653122814763E-2</v>
      </c>
    </row>
    <row r="115" spans="1:15" x14ac:dyDescent="0.3">
      <c r="A115" s="41" t="s">
        <v>148</v>
      </c>
      <c r="B115" s="42" t="s">
        <v>22</v>
      </c>
      <c r="C115" s="43">
        <v>45489</v>
      </c>
      <c r="D115" s="42" t="s">
        <v>14</v>
      </c>
      <c r="E115" s="42" t="s">
        <v>36</v>
      </c>
      <c r="F115" s="113">
        <v>1803</v>
      </c>
      <c r="G115" s="113">
        <v>273</v>
      </c>
      <c r="H115" s="113">
        <v>287</v>
      </c>
      <c r="I115" s="113">
        <v>46176</v>
      </c>
      <c r="J115" s="113">
        <v>25488</v>
      </c>
      <c r="K115" s="113">
        <v>141</v>
      </c>
      <c r="L115" s="42" t="s">
        <v>37</v>
      </c>
      <c r="M115" s="42"/>
      <c r="N115" s="42" t="s">
        <v>16</v>
      </c>
      <c r="O115" s="83">
        <v>5.1173769923769923E-2</v>
      </c>
    </row>
    <row r="116" spans="1:15" x14ac:dyDescent="0.3">
      <c r="A116" s="41" t="s">
        <v>149</v>
      </c>
      <c r="B116" s="42" t="s">
        <v>13</v>
      </c>
      <c r="C116" s="43">
        <v>45762</v>
      </c>
      <c r="D116" s="42" t="s">
        <v>14</v>
      </c>
      <c r="E116" s="42" t="s">
        <v>18</v>
      </c>
      <c r="F116" s="113">
        <v>4177</v>
      </c>
      <c r="G116" s="113">
        <v>489</v>
      </c>
      <c r="H116" s="113">
        <v>331</v>
      </c>
      <c r="I116" s="113">
        <v>57451</v>
      </c>
      <c r="J116" s="113">
        <v>73793</v>
      </c>
      <c r="K116" s="113">
        <v>251</v>
      </c>
      <c r="L116" s="42" t="s">
        <v>19</v>
      </c>
      <c r="M116" s="42"/>
      <c r="N116" s="42" t="s">
        <v>20</v>
      </c>
      <c r="O116" s="83">
        <v>8.6978468608031198E-2</v>
      </c>
    </row>
    <row r="117" spans="1:15" x14ac:dyDescent="0.3">
      <c r="A117" s="44" t="s">
        <v>150</v>
      </c>
      <c r="B117" s="45" t="s">
        <v>13</v>
      </c>
      <c r="C117" s="46">
        <v>45781</v>
      </c>
      <c r="D117" s="45" t="s">
        <v>23</v>
      </c>
      <c r="E117" s="45" t="s">
        <v>24</v>
      </c>
      <c r="F117" s="114">
        <v>1311</v>
      </c>
      <c r="G117" s="114">
        <v>181</v>
      </c>
      <c r="H117" s="114">
        <v>361</v>
      </c>
      <c r="I117" s="114">
        <v>37148</v>
      </c>
      <c r="J117" s="114">
        <v>44875</v>
      </c>
      <c r="K117" s="114">
        <v>245</v>
      </c>
      <c r="L117" s="45" t="s">
        <v>37</v>
      </c>
      <c r="M117" s="45"/>
      <c r="N117" s="45" t="s">
        <v>50</v>
      </c>
      <c r="O117" s="84">
        <v>4.9881554861634543E-2</v>
      </c>
    </row>
    <row r="118" spans="1:15" x14ac:dyDescent="0.3">
      <c r="A118" s="44" t="s">
        <v>151</v>
      </c>
      <c r="B118" s="45" t="s">
        <v>13</v>
      </c>
      <c r="C118" s="46">
        <v>45340</v>
      </c>
      <c r="D118" s="45" t="s">
        <v>23</v>
      </c>
      <c r="E118" s="45" t="s">
        <v>44</v>
      </c>
      <c r="F118" s="114">
        <v>1516</v>
      </c>
      <c r="G118" s="114">
        <v>215</v>
      </c>
      <c r="H118" s="114">
        <v>332</v>
      </c>
      <c r="I118" s="114">
        <v>58981</v>
      </c>
      <c r="J118" s="114">
        <v>36118</v>
      </c>
      <c r="K118" s="114">
        <v>211</v>
      </c>
      <c r="L118" s="45" t="s">
        <v>37</v>
      </c>
      <c r="M118" s="45"/>
      <c r="N118" s="45" t="s">
        <v>50</v>
      </c>
      <c r="O118" s="84">
        <v>3.4977365592309385E-2</v>
      </c>
    </row>
    <row r="119" spans="1:15" x14ac:dyDescent="0.3">
      <c r="A119" s="41" t="s">
        <v>152</v>
      </c>
      <c r="B119" s="42" t="s">
        <v>22</v>
      </c>
      <c r="C119" s="43">
        <v>45428</v>
      </c>
      <c r="D119" s="42" t="s">
        <v>23</v>
      </c>
      <c r="E119" s="42" t="s">
        <v>29</v>
      </c>
      <c r="F119" s="113">
        <v>2023</v>
      </c>
      <c r="G119" s="113">
        <v>124</v>
      </c>
      <c r="H119" s="113">
        <v>99</v>
      </c>
      <c r="I119" s="113">
        <v>54524</v>
      </c>
      <c r="J119" s="113">
        <v>34790</v>
      </c>
      <c r="K119" s="113">
        <v>195</v>
      </c>
      <c r="L119" s="42" t="s">
        <v>19</v>
      </c>
      <c r="M119" s="42" t="s">
        <v>337</v>
      </c>
      <c r="N119" s="42" t="s">
        <v>16</v>
      </c>
      <c r="O119" s="83">
        <v>4.1192869195216787E-2</v>
      </c>
    </row>
    <row r="120" spans="1:15" x14ac:dyDescent="0.3">
      <c r="A120" s="44" t="s">
        <v>153</v>
      </c>
      <c r="B120" s="45" t="s">
        <v>22</v>
      </c>
      <c r="C120" s="46">
        <v>45806</v>
      </c>
      <c r="D120" s="45" t="s">
        <v>23</v>
      </c>
      <c r="E120" s="45" t="s">
        <v>29</v>
      </c>
      <c r="F120" s="114">
        <v>2134</v>
      </c>
      <c r="G120" s="114">
        <v>322</v>
      </c>
      <c r="H120" s="114">
        <v>114</v>
      </c>
      <c r="I120" s="114">
        <v>44338</v>
      </c>
      <c r="J120" s="114">
        <v>52165</v>
      </c>
      <c r="K120" s="114">
        <v>176</v>
      </c>
      <c r="L120" s="45" t="s">
        <v>337</v>
      </c>
      <c r="M120" s="45" t="s">
        <v>37</v>
      </c>
      <c r="N120" s="45" t="s">
        <v>16</v>
      </c>
      <c r="O120" s="84">
        <v>5.7963823356939871E-2</v>
      </c>
    </row>
    <row r="121" spans="1:15" x14ac:dyDescent="0.3">
      <c r="A121" s="44" t="s">
        <v>154</v>
      </c>
      <c r="B121" s="45" t="s">
        <v>13</v>
      </c>
      <c r="C121" s="46">
        <v>45674</v>
      </c>
      <c r="D121" s="45" t="s">
        <v>14</v>
      </c>
      <c r="E121" s="45" t="s">
        <v>36</v>
      </c>
      <c r="F121" s="114">
        <v>2266</v>
      </c>
      <c r="G121" s="114">
        <v>126</v>
      </c>
      <c r="H121" s="114">
        <v>140</v>
      </c>
      <c r="I121" s="114">
        <v>53759</v>
      </c>
      <c r="J121" s="114">
        <v>46834</v>
      </c>
      <c r="K121" s="114">
        <v>277</v>
      </c>
      <c r="L121" s="45" t="s">
        <v>19</v>
      </c>
      <c r="M121" s="45"/>
      <c r="N121" s="45" t="s">
        <v>20</v>
      </c>
      <c r="O121" s="84">
        <v>4.7099090384865788E-2</v>
      </c>
    </row>
    <row r="122" spans="1:15" x14ac:dyDescent="0.3">
      <c r="A122" s="44" t="s">
        <v>155</v>
      </c>
      <c r="B122" s="45" t="s">
        <v>13</v>
      </c>
      <c r="C122" s="46">
        <v>45777</v>
      </c>
      <c r="D122" s="45" t="s">
        <v>23</v>
      </c>
      <c r="E122" s="45" t="s">
        <v>24</v>
      </c>
      <c r="F122" s="114">
        <v>3916</v>
      </c>
      <c r="G122" s="114">
        <v>459</v>
      </c>
      <c r="H122" s="114">
        <v>229</v>
      </c>
      <c r="I122" s="114">
        <v>48989</v>
      </c>
      <c r="J122" s="114">
        <v>39768</v>
      </c>
      <c r="K122" s="114">
        <v>200</v>
      </c>
      <c r="L122" s="45" t="s">
        <v>37</v>
      </c>
      <c r="M122" s="45"/>
      <c r="N122" s="45" t="s">
        <v>50</v>
      </c>
      <c r="O122" s="84">
        <v>9.3980281287635997E-2</v>
      </c>
    </row>
    <row r="123" spans="1:15" x14ac:dyDescent="0.3">
      <c r="A123" s="41" t="s">
        <v>156</v>
      </c>
      <c r="B123" s="42" t="s">
        <v>22</v>
      </c>
      <c r="C123" s="43">
        <v>45346</v>
      </c>
      <c r="D123" s="42" t="s">
        <v>23</v>
      </c>
      <c r="E123" s="42" t="s">
        <v>29</v>
      </c>
      <c r="F123" s="113">
        <v>1022</v>
      </c>
      <c r="G123" s="113">
        <v>463</v>
      </c>
      <c r="H123" s="113">
        <v>360</v>
      </c>
      <c r="I123" s="113">
        <v>51468</v>
      </c>
      <c r="J123" s="113">
        <v>24279</v>
      </c>
      <c r="K123" s="113">
        <v>230</v>
      </c>
      <c r="L123" s="42" t="s">
        <v>19</v>
      </c>
      <c r="M123" s="42" t="s">
        <v>337</v>
      </c>
      <c r="N123" s="42" t="s">
        <v>16</v>
      </c>
      <c r="O123" s="83">
        <v>3.5847516903707161E-2</v>
      </c>
    </row>
    <row r="124" spans="1:15" x14ac:dyDescent="0.3">
      <c r="A124" s="41" t="s">
        <v>157</v>
      </c>
      <c r="B124" s="42" t="s">
        <v>28</v>
      </c>
      <c r="C124" s="43">
        <v>45424</v>
      </c>
      <c r="D124" s="42" t="s">
        <v>14</v>
      </c>
      <c r="E124" s="42" t="s">
        <v>44</v>
      </c>
      <c r="F124" s="113">
        <v>2911</v>
      </c>
      <c r="G124" s="113">
        <v>467</v>
      </c>
      <c r="H124" s="113">
        <v>94</v>
      </c>
      <c r="I124" s="113">
        <v>59083</v>
      </c>
      <c r="J124" s="113">
        <v>49762</v>
      </c>
      <c r="K124" s="113">
        <v>236</v>
      </c>
      <c r="L124" s="42" t="s">
        <v>19</v>
      </c>
      <c r="M124" s="42" t="s">
        <v>338</v>
      </c>
      <c r="N124" s="42" t="s">
        <v>20</v>
      </c>
      <c r="O124" s="83">
        <v>5.8764788517847777E-2</v>
      </c>
    </row>
    <row r="125" spans="1:15" x14ac:dyDescent="0.3">
      <c r="A125" s="44" t="s">
        <v>158</v>
      </c>
      <c r="B125" s="45" t="s">
        <v>22</v>
      </c>
      <c r="C125" s="46">
        <v>45421</v>
      </c>
      <c r="D125" s="45" t="s">
        <v>23</v>
      </c>
      <c r="E125" s="45" t="s">
        <v>24</v>
      </c>
      <c r="F125" s="114">
        <v>3277</v>
      </c>
      <c r="G125" s="114">
        <v>423</v>
      </c>
      <c r="H125" s="114">
        <v>259</v>
      </c>
      <c r="I125" s="114">
        <v>46328</v>
      </c>
      <c r="J125" s="114">
        <v>44293</v>
      </c>
      <c r="K125" s="114">
        <v>299</v>
      </c>
      <c r="L125" s="45" t="s">
        <v>40</v>
      </c>
      <c r="M125" s="45" t="s">
        <v>37</v>
      </c>
      <c r="N125" s="45" t="s">
        <v>16</v>
      </c>
      <c r="O125" s="84">
        <v>8.5455879813503707E-2</v>
      </c>
    </row>
    <row r="126" spans="1:15" x14ac:dyDescent="0.3">
      <c r="A126" s="44" t="s">
        <v>159</v>
      </c>
      <c r="B126" s="45" t="s">
        <v>22</v>
      </c>
      <c r="C126" s="46">
        <v>45602</v>
      </c>
      <c r="D126" s="45" t="s">
        <v>14</v>
      </c>
      <c r="E126" s="45" t="s">
        <v>44</v>
      </c>
      <c r="F126" s="114">
        <v>2956</v>
      </c>
      <c r="G126" s="114">
        <v>381</v>
      </c>
      <c r="H126" s="114">
        <v>345</v>
      </c>
      <c r="I126" s="114">
        <v>33347</v>
      </c>
      <c r="J126" s="114">
        <v>22558</v>
      </c>
      <c r="K126" s="114">
        <v>173</v>
      </c>
      <c r="L126" s="45" t="s">
        <v>37</v>
      </c>
      <c r="M126" s="45"/>
      <c r="N126" s="45" t="s">
        <v>16</v>
      </c>
      <c r="O126" s="84">
        <v>0.11041472996071611</v>
      </c>
    </row>
    <row r="127" spans="1:15" x14ac:dyDescent="0.3">
      <c r="A127" s="44" t="s">
        <v>160</v>
      </c>
      <c r="B127" s="45" t="s">
        <v>22</v>
      </c>
      <c r="C127" s="46">
        <v>45295</v>
      </c>
      <c r="D127" s="45" t="s">
        <v>23</v>
      </c>
      <c r="E127" s="45" t="s">
        <v>31</v>
      </c>
      <c r="F127" s="114">
        <v>3208</v>
      </c>
      <c r="G127" s="114">
        <v>476</v>
      </c>
      <c r="H127" s="114">
        <v>277</v>
      </c>
      <c r="I127" s="114">
        <v>56072</v>
      </c>
      <c r="J127" s="114">
        <v>21061</v>
      </c>
      <c r="K127" s="114">
        <v>113</v>
      </c>
      <c r="L127" s="45" t="s">
        <v>337</v>
      </c>
      <c r="M127" s="45" t="s">
        <v>37</v>
      </c>
      <c r="N127" s="45" t="s">
        <v>16</v>
      </c>
      <c r="O127" s="84">
        <v>7.064131830503638E-2</v>
      </c>
    </row>
    <row r="128" spans="1:15" x14ac:dyDescent="0.3">
      <c r="A128" s="41" t="s">
        <v>161</v>
      </c>
      <c r="B128" s="42" t="s">
        <v>22</v>
      </c>
      <c r="C128" s="43">
        <v>45319</v>
      </c>
      <c r="D128" s="42" t="s">
        <v>14</v>
      </c>
      <c r="E128" s="42" t="s">
        <v>29</v>
      </c>
      <c r="F128" s="113">
        <v>1456</v>
      </c>
      <c r="G128" s="113">
        <v>265</v>
      </c>
      <c r="H128" s="113">
        <v>137</v>
      </c>
      <c r="I128" s="113">
        <v>53485</v>
      </c>
      <c r="J128" s="113">
        <v>59729</v>
      </c>
      <c r="K128" s="113">
        <v>145</v>
      </c>
      <c r="L128" s="42" t="s">
        <v>40</v>
      </c>
      <c r="M128" s="42"/>
      <c r="N128" s="42" t="s">
        <v>20</v>
      </c>
      <c r="O128" s="83">
        <v>3.4738711788351875E-2</v>
      </c>
    </row>
    <row r="129" spans="1:15" x14ac:dyDescent="0.3">
      <c r="A129" s="41" t="s">
        <v>162</v>
      </c>
      <c r="B129" s="42" t="s">
        <v>13</v>
      </c>
      <c r="C129" s="43">
        <v>45344</v>
      </c>
      <c r="D129" s="42" t="s">
        <v>14</v>
      </c>
      <c r="E129" s="42" t="s">
        <v>24</v>
      </c>
      <c r="F129" s="113">
        <v>1902</v>
      </c>
      <c r="G129" s="113">
        <v>394</v>
      </c>
      <c r="H129" s="113">
        <v>279</v>
      </c>
      <c r="I129" s="113">
        <v>24615</v>
      </c>
      <c r="J129" s="113">
        <v>51330</v>
      </c>
      <c r="K129" s="113">
        <v>176</v>
      </c>
      <c r="L129" s="42" t="s">
        <v>40</v>
      </c>
      <c r="M129" s="42" t="s">
        <v>37</v>
      </c>
      <c r="N129" s="42" t="s">
        <v>16</v>
      </c>
      <c r="O129" s="83">
        <v>0.10461100954702417</v>
      </c>
    </row>
    <row r="130" spans="1:15" x14ac:dyDescent="0.3">
      <c r="A130" s="41" t="s">
        <v>163</v>
      </c>
      <c r="B130" s="42" t="s">
        <v>22</v>
      </c>
      <c r="C130" s="43">
        <v>45839</v>
      </c>
      <c r="D130" s="42" t="s">
        <v>23</v>
      </c>
      <c r="E130" s="42" t="s">
        <v>18</v>
      </c>
      <c r="F130" s="113">
        <v>3219</v>
      </c>
      <c r="G130" s="113">
        <v>424</v>
      </c>
      <c r="H130" s="113">
        <v>267</v>
      </c>
      <c r="I130" s="113">
        <v>48879</v>
      </c>
      <c r="J130" s="113">
        <v>37691</v>
      </c>
      <c r="K130" s="113">
        <v>224</v>
      </c>
      <c r="L130" s="42" t="s">
        <v>19</v>
      </c>
      <c r="M130" s="42" t="s">
        <v>337</v>
      </c>
      <c r="N130" s="42" t="s">
        <v>16</v>
      </c>
      <c r="O130" s="83">
        <v>7.9993453221219743E-2</v>
      </c>
    </row>
    <row r="131" spans="1:15" x14ac:dyDescent="0.3">
      <c r="A131" s="44" t="s">
        <v>164</v>
      </c>
      <c r="B131" s="45" t="s">
        <v>28</v>
      </c>
      <c r="C131" s="46">
        <v>45301</v>
      </c>
      <c r="D131" s="45" t="s">
        <v>14</v>
      </c>
      <c r="E131" s="45" t="s">
        <v>18</v>
      </c>
      <c r="F131" s="114">
        <v>1261</v>
      </c>
      <c r="G131" s="114">
        <v>190</v>
      </c>
      <c r="H131" s="114">
        <v>233</v>
      </c>
      <c r="I131" s="114">
        <v>59888</v>
      </c>
      <c r="J131" s="114">
        <v>51449</v>
      </c>
      <c r="K131" s="114">
        <v>205</v>
      </c>
      <c r="L131" s="45" t="s">
        <v>19</v>
      </c>
      <c r="M131" s="45" t="s">
        <v>338</v>
      </c>
      <c r="N131" s="45" t="s">
        <v>20</v>
      </c>
      <c r="O131" s="84">
        <v>2.811915575741384E-2</v>
      </c>
    </row>
    <row r="132" spans="1:15" x14ac:dyDescent="0.3">
      <c r="A132" s="44" t="s">
        <v>165</v>
      </c>
      <c r="B132" s="45" t="s">
        <v>22</v>
      </c>
      <c r="C132" s="46">
        <v>45736</v>
      </c>
      <c r="D132" s="45" t="s">
        <v>14</v>
      </c>
      <c r="E132" s="45" t="s">
        <v>46</v>
      </c>
      <c r="F132" s="114">
        <v>1564</v>
      </c>
      <c r="G132" s="114">
        <v>362</v>
      </c>
      <c r="H132" s="114">
        <v>371</v>
      </c>
      <c r="I132" s="114">
        <v>42075</v>
      </c>
      <c r="J132" s="114">
        <v>66659</v>
      </c>
      <c r="K132" s="114">
        <v>205</v>
      </c>
      <c r="L132" s="45" t="s">
        <v>40</v>
      </c>
      <c r="M132" s="45"/>
      <c r="N132" s="45" t="s">
        <v>20</v>
      </c>
      <c r="O132" s="84">
        <v>5.4592988710635768E-2</v>
      </c>
    </row>
    <row r="133" spans="1:15" x14ac:dyDescent="0.3">
      <c r="A133" s="44" t="s">
        <v>166</v>
      </c>
      <c r="B133" s="45" t="s">
        <v>22</v>
      </c>
      <c r="C133" s="46">
        <v>45563</v>
      </c>
      <c r="D133" s="45" t="s">
        <v>14</v>
      </c>
      <c r="E133" s="45" t="s">
        <v>31</v>
      </c>
      <c r="F133" s="114">
        <v>4006</v>
      </c>
      <c r="G133" s="114">
        <v>420</v>
      </c>
      <c r="H133" s="114">
        <v>194</v>
      </c>
      <c r="I133" s="114">
        <v>49964</v>
      </c>
      <c r="J133" s="114">
        <v>20685</v>
      </c>
      <c r="K133" s="114">
        <v>148</v>
      </c>
      <c r="L133" s="45" t="s">
        <v>37</v>
      </c>
      <c r="M133" s="45"/>
      <c r="N133" s="45" t="s">
        <v>16</v>
      </c>
      <c r="O133" s="84">
        <v>9.2466575934672959E-2</v>
      </c>
    </row>
    <row r="134" spans="1:15" x14ac:dyDescent="0.3">
      <c r="A134" s="44" t="s">
        <v>167</v>
      </c>
      <c r="B134" s="45" t="s">
        <v>28</v>
      </c>
      <c r="C134" s="46">
        <v>45318</v>
      </c>
      <c r="D134" s="45" t="s">
        <v>14</v>
      </c>
      <c r="E134" s="45" t="s">
        <v>46</v>
      </c>
      <c r="F134" s="114">
        <v>1976</v>
      </c>
      <c r="G134" s="114">
        <v>262</v>
      </c>
      <c r="H134" s="114">
        <v>218</v>
      </c>
      <c r="I134" s="114">
        <v>51696</v>
      </c>
      <c r="J134" s="114">
        <v>44846</v>
      </c>
      <c r="K134" s="114">
        <v>139</v>
      </c>
      <c r="L134" s="45" t="s">
        <v>19</v>
      </c>
      <c r="M134" s="45" t="s">
        <v>338</v>
      </c>
      <c r="N134" s="45" t="s">
        <v>20</v>
      </c>
      <c r="O134" s="84">
        <v>4.7508511296812134E-2</v>
      </c>
    </row>
    <row r="135" spans="1:15" x14ac:dyDescent="0.3">
      <c r="A135" s="41" t="s">
        <v>168</v>
      </c>
      <c r="B135" s="42" t="s">
        <v>22</v>
      </c>
      <c r="C135" s="43">
        <v>45792</v>
      </c>
      <c r="D135" s="42" t="s">
        <v>14</v>
      </c>
      <c r="E135" s="42" t="s">
        <v>24</v>
      </c>
      <c r="F135" s="113">
        <v>1583</v>
      </c>
      <c r="G135" s="113">
        <v>433</v>
      </c>
      <c r="H135" s="113">
        <v>249</v>
      </c>
      <c r="I135" s="113">
        <v>30256</v>
      </c>
      <c r="J135" s="113">
        <v>47066</v>
      </c>
      <c r="K135" s="113">
        <v>196</v>
      </c>
      <c r="L135" s="42" t="s">
        <v>37</v>
      </c>
      <c r="M135" s="42"/>
      <c r="N135" s="42" t="s">
        <v>16</v>
      </c>
      <c r="O135" s="83">
        <v>7.4861184558434685E-2</v>
      </c>
    </row>
    <row r="136" spans="1:15" x14ac:dyDescent="0.3">
      <c r="A136" s="41" t="s">
        <v>169</v>
      </c>
      <c r="B136" s="42" t="s">
        <v>22</v>
      </c>
      <c r="C136" s="43">
        <v>45569</v>
      </c>
      <c r="D136" s="42" t="s">
        <v>23</v>
      </c>
      <c r="E136" s="42" t="s">
        <v>18</v>
      </c>
      <c r="F136" s="113">
        <v>2870</v>
      </c>
      <c r="G136" s="113">
        <v>380</v>
      </c>
      <c r="H136" s="113">
        <v>393</v>
      </c>
      <c r="I136" s="113">
        <v>37621</v>
      </c>
      <c r="J136" s="113">
        <v>71794</v>
      </c>
      <c r="K136" s="113">
        <v>127</v>
      </c>
      <c r="L136" s="42" t="s">
        <v>337</v>
      </c>
      <c r="M136" s="42" t="s">
        <v>37</v>
      </c>
      <c r="N136" s="42" t="s">
        <v>16</v>
      </c>
      <c r="O136" s="83">
        <v>9.6834214933149046E-2</v>
      </c>
    </row>
    <row r="137" spans="1:15" x14ac:dyDescent="0.3">
      <c r="A137" s="41" t="s">
        <v>170</v>
      </c>
      <c r="B137" s="42" t="s">
        <v>22</v>
      </c>
      <c r="C137" s="43">
        <v>45615</v>
      </c>
      <c r="D137" s="42" t="s">
        <v>14</v>
      </c>
      <c r="E137" s="42" t="s">
        <v>36</v>
      </c>
      <c r="F137" s="113">
        <v>3728</v>
      </c>
      <c r="G137" s="113">
        <v>271</v>
      </c>
      <c r="H137" s="113">
        <v>275</v>
      </c>
      <c r="I137" s="113">
        <v>22827</v>
      </c>
      <c r="J137" s="113">
        <v>37034</v>
      </c>
      <c r="K137" s="113">
        <v>199</v>
      </c>
      <c r="L137" s="42" t="s">
        <v>37</v>
      </c>
      <c r="M137" s="42"/>
      <c r="N137" s="42" t="s">
        <v>16</v>
      </c>
      <c r="O137" s="83">
        <v>0.18723441538528934</v>
      </c>
    </row>
    <row r="138" spans="1:15" x14ac:dyDescent="0.3">
      <c r="A138" s="41" t="s">
        <v>171</v>
      </c>
      <c r="B138" s="42" t="s">
        <v>22</v>
      </c>
      <c r="C138" s="43">
        <v>45387</v>
      </c>
      <c r="D138" s="42" t="s">
        <v>23</v>
      </c>
      <c r="E138" s="42" t="s">
        <v>24</v>
      </c>
      <c r="F138" s="113">
        <v>4965</v>
      </c>
      <c r="G138" s="113">
        <v>175</v>
      </c>
      <c r="H138" s="113">
        <v>307</v>
      </c>
      <c r="I138" s="113">
        <v>32793</v>
      </c>
      <c r="J138" s="113">
        <v>43412</v>
      </c>
      <c r="K138" s="113">
        <v>296</v>
      </c>
      <c r="L138" s="42" t="s">
        <v>40</v>
      </c>
      <c r="M138" s="42" t="s">
        <v>37</v>
      </c>
      <c r="N138" s="42" t="s">
        <v>16</v>
      </c>
      <c r="O138" s="83">
        <v>0.16610252187966945</v>
      </c>
    </row>
    <row r="139" spans="1:15" x14ac:dyDescent="0.3">
      <c r="A139" s="41" t="s">
        <v>172</v>
      </c>
      <c r="B139" s="42" t="s">
        <v>22</v>
      </c>
      <c r="C139" s="43">
        <v>45624</v>
      </c>
      <c r="D139" s="42" t="s">
        <v>23</v>
      </c>
      <c r="E139" s="42" t="s">
        <v>24</v>
      </c>
      <c r="F139" s="113">
        <v>1131</v>
      </c>
      <c r="G139" s="113">
        <v>100</v>
      </c>
      <c r="H139" s="113">
        <v>116</v>
      </c>
      <c r="I139" s="113">
        <v>48437</v>
      </c>
      <c r="J139" s="113">
        <v>72704</v>
      </c>
      <c r="K139" s="113">
        <v>236</v>
      </c>
      <c r="L139" s="42" t="s">
        <v>19</v>
      </c>
      <c r="M139" s="42" t="s">
        <v>337</v>
      </c>
      <c r="N139" s="42" t="s">
        <v>16</v>
      </c>
      <c r="O139" s="83">
        <v>2.7809319322005904E-2</v>
      </c>
    </row>
    <row r="140" spans="1:15" x14ac:dyDescent="0.3">
      <c r="A140" s="41" t="s">
        <v>173</v>
      </c>
      <c r="B140" s="42" t="s">
        <v>22</v>
      </c>
      <c r="C140" s="43">
        <v>45725</v>
      </c>
      <c r="D140" s="42" t="s">
        <v>14</v>
      </c>
      <c r="E140" s="42" t="s">
        <v>46</v>
      </c>
      <c r="F140" s="113">
        <v>2754</v>
      </c>
      <c r="G140" s="113">
        <v>215</v>
      </c>
      <c r="H140" s="113">
        <v>264</v>
      </c>
      <c r="I140" s="113">
        <v>27762</v>
      </c>
      <c r="J140" s="113">
        <v>70203</v>
      </c>
      <c r="K140" s="113">
        <v>289</v>
      </c>
      <c r="L140" s="42" t="s">
        <v>37</v>
      </c>
      <c r="M140" s="42"/>
      <c r="N140" s="42" t="s">
        <v>16</v>
      </c>
      <c r="O140" s="83">
        <v>0.11645414595490239</v>
      </c>
    </row>
    <row r="141" spans="1:15" x14ac:dyDescent="0.3">
      <c r="A141" s="44" t="s">
        <v>174</v>
      </c>
      <c r="B141" s="45" t="s">
        <v>22</v>
      </c>
      <c r="C141" s="46">
        <v>45531</v>
      </c>
      <c r="D141" s="45" t="s">
        <v>23</v>
      </c>
      <c r="E141" s="45" t="s">
        <v>24</v>
      </c>
      <c r="F141" s="114">
        <v>1856</v>
      </c>
      <c r="G141" s="114">
        <v>357</v>
      </c>
      <c r="H141" s="114">
        <v>348</v>
      </c>
      <c r="I141" s="114">
        <v>29428</v>
      </c>
      <c r="J141" s="114">
        <v>70206</v>
      </c>
      <c r="K141" s="114">
        <v>236</v>
      </c>
      <c r="L141" s="45" t="s">
        <v>337</v>
      </c>
      <c r="M141" s="45" t="s">
        <v>37</v>
      </c>
      <c r="N141" s="45" t="s">
        <v>16</v>
      </c>
      <c r="O141" s="84">
        <v>8.702596166915863E-2</v>
      </c>
    </row>
    <row r="142" spans="1:15" x14ac:dyDescent="0.3">
      <c r="A142" s="41" t="s">
        <v>175</v>
      </c>
      <c r="B142" s="42" t="s">
        <v>28</v>
      </c>
      <c r="C142" s="43">
        <v>45566</v>
      </c>
      <c r="D142" s="42" t="s">
        <v>52</v>
      </c>
      <c r="E142" s="42" t="s">
        <v>18</v>
      </c>
      <c r="F142" s="113">
        <v>3543</v>
      </c>
      <c r="G142" s="113">
        <v>334</v>
      </c>
      <c r="H142" s="113">
        <v>218</v>
      </c>
      <c r="I142" s="113">
        <v>58007</v>
      </c>
      <c r="J142" s="113">
        <v>24792</v>
      </c>
      <c r="K142" s="113">
        <v>273</v>
      </c>
      <c r="L142" s="42" t="s">
        <v>19</v>
      </c>
      <c r="M142" s="42" t="s">
        <v>40</v>
      </c>
      <c r="N142" s="42" t="s">
        <v>53</v>
      </c>
      <c r="O142" s="83">
        <v>7.0594928198320889E-2</v>
      </c>
    </row>
    <row r="143" spans="1:15" x14ac:dyDescent="0.3">
      <c r="A143" s="41" t="s">
        <v>176</v>
      </c>
      <c r="B143" s="42" t="s">
        <v>13</v>
      </c>
      <c r="C143" s="43">
        <v>45647</v>
      </c>
      <c r="D143" s="42" t="s">
        <v>23</v>
      </c>
      <c r="E143" s="42" t="s">
        <v>24</v>
      </c>
      <c r="F143" s="113">
        <v>4563</v>
      </c>
      <c r="G143" s="113">
        <v>398</v>
      </c>
      <c r="H143" s="113">
        <v>163</v>
      </c>
      <c r="I143" s="113">
        <v>43679</v>
      </c>
      <c r="J143" s="113">
        <v>48760</v>
      </c>
      <c r="K143" s="113">
        <v>92</v>
      </c>
      <c r="L143" s="42" t="s">
        <v>37</v>
      </c>
      <c r="M143" s="42"/>
      <c r="N143" s="42" t="s">
        <v>50</v>
      </c>
      <c r="O143" s="83">
        <v>0.11731037798484398</v>
      </c>
    </row>
    <row r="144" spans="1:15" x14ac:dyDescent="0.3">
      <c r="A144" s="41" t="s">
        <v>177</v>
      </c>
      <c r="B144" s="42" t="s">
        <v>13</v>
      </c>
      <c r="C144" s="43">
        <v>45460</v>
      </c>
      <c r="D144" s="42" t="s">
        <v>14</v>
      </c>
      <c r="E144" s="42" t="s">
        <v>15</v>
      </c>
      <c r="F144" s="113">
        <v>4283</v>
      </c>
      <c r="G144" s="113">
        <v>471</v>
      </c>
      <c r="H144" s="113">
        <v>156</v>
      </c>
      <c r="I144" s="113">
        <v>53004</v>
      </c>
      <c r="J144" s="113">
        <v>25678</v>
      </c>
      <c r="K144" s="113">
        <v>105</v>
      </c>
      <c r="L144" s="42" t="s">
        <v>19</v>
      </c>
      <c r="M144" s="42"/>
      <c r="N144" s="42" t="s">
        <v>20</v>
      </c>
      <c r="O144" s="83">
        <v>9.2634518149573616E-2</v>
      </c>
    </row>
    <row r="145" spans="1:15" x14ac:dyDescent="0.3">
      <c r="A145" s="44" t="s">
        <v>178</v>
      </c>
      <c r="B145" s="45" t="s">
        <v>13</v>
      </c>
      <c r="C145" s="46">
        <v>45702</v>
      </c>
      <c r="D145" s="45" t="s">
        <v>14</v>
      </c>
      <c r="E145" s="45" t="s">
        <v>15</v>
      </c>
      <c r="F145" s="114">
        <v>2329</v>
      </c>
      <c r="G145" s="114">
        <v>373</v>
      </c>
      <c r="H145" s="114">
        <v>291</v>
      </c>
      <c r="I145" s="114">
        <v>49577</v>
      </c>
      <c r="J145" s="114">
        <v>28002</v>
      </c>
      <c r="K145" s="114">
        <v>82</v>
      </c>
      <c r="L145" s="45" t="s">
        <v>40</v>
      </c>
      <c r="M145" s="45" t="s">
        <v>37</v>
      </c>
      <c r="N145" s="45" t="s">
        <v>16</v>
      </c>
      <c r="O145" s="84">
        <v>6.0370736430199488E-2</v>
      </c>
    </row>
    <row r="146" spans="1:15" x14ac:dyDescent="0.3">
      <c r="A146" s="41" t="s">
        <v>179</v>
      </c>
      <c r="B146" s="42" t="s">
        <v>22</v>
      </c>
      <c r="C146" s="43">
        <v>45805</v>
      </c>
      <c r="D146" s="42" t="s">
        <v>23</v>
      </c>
      <c r="E146" s="42" t="s">
        <v>36</v>
      </c>
      <c r="F146" s="113">
        <v>4287</v>
      </c>
      <c r="G146" s="113">
        <v>273</v>
      </c>
      <c r="H146" s="113">
        <v>122</v>
      </c>
      <c r="I146" s="113">
        <v>40792</v>
      </c>
      <c r="J146" s="113">
        <v>23878</v>
      </c>
      <c r="K146" s="113">
        <v>277</v>
      </c>
      <c r="L146" s="42" t="s">
        <v>337</v>
      </c>
      <c r="M146" s="42" t="s">
        <v>37</v>
      </c>
      <c r="N146" s="42" t="s">
        <v>16</v>
      </c>
      <c r="O146" s="83">
        <v>0.11477740733477153</v>
      </c>
    </row>
    <row r="147" spans="1:15" x14ac:dyDescent="0.3">
      <c r="A147" s="44" t="s">
        <v>180</v>
      </c>
      <c r="B147" s="45" t="s">
        <v>13</v>
      </c>
      <c r="C147" s="46">
        <v>45799</v>
      </c>
      <c r="D147" s="45" t="s">
        <v>14</v>
      </c>
      <c r="E147" s="45" t="s">
        <v>15</v>
      </c>
      <c r="F147" s="114">
        <v>2633</v>
      </c>
      <c r="G147" s="114">
        <v>318</v>
      </c>
      <c r="H147" s="114">
        <v>380</v>
      </c>
      <c r="I147" s="114">
        <v>40869</v>
      </c>
      <c r="J147" s="114">
        <v>64474</v>
      </c>
      <c r="K147" s="114">
        <v>245</v>
      </c>
      <c r="L147" s="45" t="s">
        <v>19</v>
      </c>
      <c r="M147" s="45"/>
      <c r="N147" s="45" t="s">
        <v>20</v>
      </c>
      <c r="O147" s="84">
        <v>8.1504318676747664E-2</v>
      </c>
    </row>
    <row r="148" spans="1:15" x14ac:dyDescent="0.3">
      <c r="A148" s="44" t="s">
        <v>181</v>
      </c>
      <c r="B148" s="45" t="s">
        <v>22</v>
      </c>
      <c r="C148" s="46">
        <v>45312</v>
      </c>
      <c r="D148" s="45" t="s">
        <v>23</v>
      </c>
      <c r="E148" s="45" t="s">
        <v>15</v>
      </c>
      <c r="F148" s="114">
        <v>2383</v>
      </c>
      <c r="G148" s="114">
        <v>136</v>
      </c>
      <c r="H148" s="114">
        <v>302</v>
      </c>
      <c r="I148" s="114">
        <v>39187</v>
      </c>
      <c r="J148" s="114">
        <v>22133</v>
      </c>
      <c r="K148" s="114">
        <v>208</v>
      </c>
      <c r="L148" s="45" t="s">
        <v>337</v>
      </c>
      <c r="M148" s="45" t="s">
        <v>37</v>
      </c>
      <c r="N148" s="45" t="s">
        <v>16</v>
      </c>
      <c r="O148" s="84">
        <v>7.1988159338556151E-2</v>
      </c>
    </row>
    <row r="149" spans="1:15" x14ac:dyDescent="0.3">
      <c r="A149" s="44" t="s">
        <v>182</v>
      </c>
      <c r="B149" s="45" t="s">
        <v>22</v>
      </c>
      <c r="C149" s="46">
        <v>45696</v>
      </c>
      <c r="D149" s="45" t="s">
        <v>23</v>
      </c>
      <c r="E149" s="45" t="s">
        <v>46</v>
      </c>
      <c r="F149" s="114">
        <v>4752</v>
      </c>
      <c r="G149" s="114">
        <v>334</v>
      </c>
      <c r="H149" s="114">
        <v>56</v>
      </c>
      <c r="I149" s="114">
        <v>48017</v>
      </c>
      <c r="J149" s="114">
        <v>55534</v>
      </c>
      <c r="K149" s="114">
        <v>270</v>
      </c>
      <c r="L149" s="45" t="s">
        <v>19</v>
      </c>
      <c r="M149" s="45" t="s">
        <v>337</v>
      </c>
      <c r="N149" s="45" t="s">
        <v>16</v>
      </c>
      <c r="O149" s="84">
        <v>0.10708707332819627</v>
      </c>
    </row>
    <row r="150" spans="1:15" x14ac:dyDescent="0.3">
      <c r="A150" s="41" t="s">
        <v>183</v>
      </c>
      <c r="B150" s="42" t="s">
        <v>22</v>
      </c>
      <c r="C150" s="43">
        <v>45760</v>
      </c>
      <c r="D150" s="42" t="s">
        <v>14</v>
      </c>
      <c r="E150" s="42" t="s">
        <v>44</v>
      </c>
      <c r="F150" s="113">
        <v>3890</v>
      </c>
      <c r="G150" s="113">
        <v>408</v>
      </c>
      <c r="H150" s="113">
        <v>338</v>
      </c>
      <c r="I150" s="113">
        <v>56994</v>
      </c>
      <c r="J150" s="113">
        <v>32621</v>
      </c>
      <c r="K150" s="113">
        <v>286</v>
      </c>
      <c r="L150" s="42" t="s">
        <v>40</v>
      </c>
      <c r="M150" s="42"/>
      <c r="N150" s="42" t="s">
        <v>20</v>
      </c>
      <c r="O150" s="83">
        <v>8.1341895638137346E-2</v>
      </c>
    </row>
    <row r="151" spans="1:15" x14ac:dyDescent="0.3">
      <c r="A151" s="44" t="s">
        <v>184</v>
      </c>
      <c r="B151" s="45" t="s">
        <v>22</v>
      </c>
      <c r="C151" s="46">
        <v>45442</v>
      </c>
      <c r="D151" s="45" t="s">
        <v>23</v>
      </c>
      <c r="E151" s="45" t="s">
        <v>46</v>
      </c>
      <c r="F151" s="114">
        <v>2311</v>
      </c>
      <c r="G151" s="114">
        <v>207</v>
      </c>
      <c r="H151" s="114">
        <v>363</v>
      </c>
      <c r="I151" s="114">
        <v>30349</v>
      </c>
      <c r="J151" s="114">
        <v>32925</v>
      </c>
      <c r="K151" s="114">
        <v>88</v>
      </c>
      <c r="L151" s="45" t="s">
        <v>337</v>
      </c>
      <c r="M151" s="45" t="s">
        <v>37</v>
      </c>
      <c r="N151" s="45" t="s">
        <v>16</v>
      </c>
      <c r="O151" s="84">
        <v>9.4928992718046723E-2</v>
      </c>
    </row>
    <row r="152" spans="1:15" x14ac:dyDescent="0.3">
      <c r="A152" s="44" t="s">
        <v>185</v>
      </c>
      <c r="B152" s="45" t="s">
        <v>13</v>
      </c>
      <c r="C152" s="46">
        <v>45516</v>
      </c>
      <c r="D152" s="45" t="s">
        <v>23</v>
      </c>
      <c r="E152" s="45" t="s">
        <v>15</v>
      </c>
      <c r="F152" s="114">
        <v>2962</v>
      </c>
      <c r="G152" s="114">
        <v>400</v>
      </c>
      <c r="H152" s="114">
        <v>280</v>
      </c>
      <c r="I152" s="114">
        <v>52508</v>
      </c>
      <c r="J152" s="114">
        <v>58329</v>
      </c>
      <c r="K152" s="114">
        <v>219</v>
      </c>
      <c r="L152" s="45" t="s">
        <v>37</v>
      </c>
      <c r="M152" s="45"/>
      <c r="N152" s="45" t="s">
        <v>50</v>
      </c>
      <c r="O152" s="84">
        <v>6.9360859297630834E-2</v>
      </c>
    </row>
    <row r="153" spans="1:15" x14ac:dyDescent="0.3">
      <c r="A153" s="41" t="s">
        <v>186</v>
      </c>
      <c r="B153" s="42" t="s">
        <v>13</v>
      </c>
      <c r="C153" s="43">
        <v>45562</v>
      </c>
      <c r="D153" s="42" t="s">
        <v>14</v>
      </c>
      <c r="E153" s="42" t="s">
        <v>15</v>
      </c>
      <c r="F153" s="113">
        <v>3118</v>
      </c>
      <c r="G153" s="113">
        <v>116</v>
      </c>
      <c r="H153" s="113">
        <v>195</v>
      </c>
      <c r="I153" s="113">
        <v>37100</v>
      </c>
      <c r="J153" s="113">
        <v>62629</v>
      </c>
      <c r="K153" s="113">
        <v>272</v>
      </c>
      <c r="L153" s="42" t="s">
        <v>19</v>
      </c>
      <c r="M153" s="42"/>
      <c r="N153" s="42" t="s">
        <v>20</v>
      </c>
      <c r="O153" s="83">
        <v>9.2425876010781671E-2</v>
      </c>
    </row>
    <row r="154" spans="1:15" x14ac:dyDescent="0.3">
      <c r="A154" s="44" t="s">
        <v>187</v>
      </c>
      <c r="B154" s="45" t="s">
        <v>22</v>
      </c>
      <c r="C154" s="46">
        <v>45819</v>
      </c>
      <c r="D154" s="45" t="s">
        <v>23</v>
      </c>
      <c r="E154" s="45" t="s">
        <v>18</v>
      </c>
      <c r="F154" s="114">
        <v>3805</v>
      </c>
      <c r="G154" s="114">
        <v>453</v>
      </c>
      <c r="H154" s="114">
        <v>63</v>
      </c>
      <c r="I154" s="114">
        <v>52395</v>
      </c>
      <c r="J154" s="114">
        <v>72934</v>
      </c>
      <c r="K154" s="114">
        <v>87</v>
      </c>
      <c r="L154" s="45" t="s">
        <v>19</v>
      </c>
      <c r="M154" s="45" t="s">
        <v>337</v>
      </c>
      <c r="N154" s="45" t="s">
        <v>16</v>
      </c>
      <c r="O154" s="84">
        <v>8.2469701307376658E-2</v>
      </c>
    </row>
    <row r="155" spans="1:15" x14ac:dyDescent="0.3">
      <c r="A155" s="41" t="s">
        <v>188</v>
      </c>
      <c r="B155" s="42" t="s">
        <v>13</v>
      </c>
      <c r="C155" s="43">
        <v>45615</v>
      </c>
      <c r="D155" s="42" t="s">
        <v>14</v>
      </c>
      <c r="E155" s="42" t="s">
        <v>31</v>
      </c>
      <c r="F155" s="113">
        <v>2525</v>
      </c>
      <c r="G155" s="113">
        <v>272</v>
      </c>
      <c r="H155" s="113">
        <v>294</v>
      </c>
      <c r="I155" s="113">
        <v>51875</v>
      </c>
      <c r="J155" s="113">
        <v>24732</v>
      </c>
      <c r="K155" s="113">
        <v>92</v>
      </c>
      <c r="L155" s="42" t="s">
        <v>19</v>
      </c>
      <c r="M155" s="42"/>
      <c r="N155" s="42" t="s">
        <v>20</v>
      </c>
      <c r="O155" s="83">
        <v>5.9585542168674697E-2</v>
      </c>
    </row>
    <row r="156" spans="1:15" x14ac:dyDescent="0.3">
      <c r="A156" s="44" t="s">
        <v>189</v>
      </c>
      <c r="B156" s="45" t="s">
        <v>13</v>
      </c>
      <c r="C156" s="46">
        <v>45407</v>
      </c>
      <c r="D156" s="45" t="s">
        <v>14</v>
      </c>
      <c r="E156" s="45" t="s">
        <v>29</v>
      </c>
      <c r="F156" s="114">
        <v>3563</v>
      </c>
      <c r="G156" s="114">
        <v>483</v>
      </c>
      <c r="H156" s="114">
        <v>227</v>
      </c>
      <c r="I156" s="114">
        <v>41085</v>
      </c>
      <c r="J156" s="114">
        <v>26393</v>
      </c>
      <c r="K156" s="114">
        <v>236</v>
      </c>
      <c r="L156" s="45" t="s">
        <v>40</v>
      </c>
      <c r="M156" s="45" t="s">
        <v>37</v>
      </c>
      <c r="N156" s="45" t="s">
        <v>16</v>
      </c>
      <c r="O156" s="84">
        <v>0.10400389436534015</v>
      </c>
    </row>
    <row r="157" spans="1:15" x14ac:dyDescent="0.3">
      <c r="A157" s="41" t="s">
        <v>190</v>
      </c>
      <c r="B157" s="42" t="s">
        <v>28</v>
      </c>
      <c r="C157" s="43">
        <v>45538</v>
      </c>
      <c r="D157" s="42" t="s">
        <v>52</v>
      </c>
      <c r="E157" s="42" t="s">
        <v>31</v>
      </c>
      <c r="F157" s="113">
        <v>1437</v>
      </c>
      <c r="G157" s="113">
        <v>494</v>
      </c>
      <c r="H157" s="113">
        <v>129</v>
      </c>
      <c r="I157" s="113">
        <v>53048</v>
      </c>
      <c r="J157" s="113">
        <v>44090</v>
      </c>
      <c r="K157" s="113">
        <v>230</v>
      </c>
      <c r="L157" s="42" t="s">
        <v>19</v>
      </c>
      <c r="M157" s="42" t="s">
        <v>40</v>
      </c>
      <c r="N157" s="42" t="s">
        <v>53</v>
      </c>
      <c r="O157" s="83">
        <v>3.8832755240536872E-2</v>
      </c>
    </row>
    <row r="158" spans="1:15" x14ac:dyDescent="0.3">
      <c r="A158" s="41" t="s">
        <v>191</v>
      </c>
      <c r="B158" s="42" t="s">
        <v>28</v>
      </c>
      <c r="C158" s="43">
        <v>45718</v>
      </c>
      <c r="D158" s="42" t="s">
        <v>14</v>
      </c>
      <c r="E158" s="42" t="s">
        <v>44</v>
      </c>
      <c r="F158" s="113">
        <v>4425</v>
      </c>
      <c r="G158" s="113">
        <v>185</v>
      </c>
      <c r="H158" s="113">
        <v>162</v>
      </c>
      <c r="I158" s="113">
        <v>24610</v>
      </c>
      <c r="J158" s="113">
        <v>21342</v>
      </c>
      <c r="K158" s="113">
        <v>158</v>
      </c>
      <c r="L158" s="42" t="s">
        <v>19</v>
      </c>
      <c r="M158" s="42" t="s">
        <v>338</v>
      </c>
      <c r="N158" s="42" t="s">
        <v>20</v>
      </c>
      <c r="O158" s="83">
        <v>0.19390491670052823</v>
      </c>
    </row>
    <row r="159" spans="1:15" x14ac:dyDescent="0.3">
      <c r="A159" s="41" t="s">
        <v>192</v>
      </c>
      <c r="B159" s="42" t="s">
        <v>22</v>
      </c>
      <c r="C159" s="43">
        <v>45737</v>
      </c>
      <c r="D159" s="42" t="s">
        <v>23</v>
      </c>
      <c r="E159" s="42" t="s">
        <v>24</v>
      </c>
      <c r="F159" s="113">
        <v>4609</v>
      </c>
      <c r="G159" s="113">
        <v>427</v>
      </c>
      <c r="H159" s="113">
        <v>395</v>
      </c>
      <c r="I159" s="113">
        <v>33698</v>
      </c>
      <c r="J159" s="113">
        <v>29259</v>
      </c>
      <c r="K159" s="113">
        <v>216</v>
      </c>
      <c r="L159" s="42" t="s">
        <v>19</v>
      </c>
      <c r="M159" s="42" t="s">
        <v>337</v>
      </c>
      <c r="N159" s="42" t="s">
        <v>16</v>
      </c>
      <c r="O159" s="83">
        <v>0.16116683482699271</v>
      </c>
    </row>
    <row r="160" spans="1:15" x14ac:dyDescent="0.3">
      <c r="A160" s="44" t="s">
        <v>193</v>
      </c>
      <c r="B160" s="45" t="s">
        <v>13</v>
      </c>
      <c r="C160" s="46">
        <v>45394</v>
      </c>
      <c r="D160" s="45" t="s">
        <v>23</v>
      </c>
      <c r="E160" s="45" t="s">
        <v>33</v>
      </c>
      <c r="F160" s="114">
        <v>1558</v>
      </c>
      <c r="G160" s="114">
        <v>352</v>
      </c>
      <c r="H160" s="114">
        <v>202</v>
      </c>
      <c r="I160" s="114">
        <v>25405</v>
      </c>
      <c r="J160" s="114">
        <v>69941</v>
      </c>
      <c r="K160" s="114">
        <v>219</v>
      </c>
      <c r="L160" s="45" t="s">
        <v>37</v>
      </c>
      <c r="M160" s="45"/>
      <c r="N160" s="45" t="s">
        <v>50</v>
      </c>
      <c r="O160" s="84">
        <v>8.3133241487896081E-2</v>
      </c>
    </row>
    <row r="161" spans="1:15" x14ac:dyDescent="0.3">
      <c r="A161" s="41" t="s">
        <v>194</v>
      </c>
      <c r="B161" s="42" t="s">
        <v>28</v>
      </c>
      <c r="C161" s="43">
        <v>45330</v>
      </c>
      <c r="D161" s="42" t="s">
        <v>52</v>
      </c>
      <c r="E161" s="42" t="s">
        <v>36</v>
      </c>
      <c r="F161" s="113">
        <v>1889</v>
      </c>
      <c r="G161" s="113">
        <v>298</v>
      </c>
      <c r="H161" s="113">
        <v>122</v>
      </c>
      <c r="I161" s="113">
        <v>46225</v>
      </c>
      <c r="J161" s="113">
        <v>74305</v>
      </c>
      <c r="K161" s="113">
        <v>293</v>
      </c>
      <c r="L161" s="42" t="s">
        <v>19</v>
      </c>
      <c r="M161" s="42" t="s">
        <v>40</v>
      </c>
      <c r="N161" s="42" t="s">
        <v>53</v>
      </c>
      <c r="O161" s="83">
        <v>4.9951325040562468E-2</v>
      </c>
    </row>
    <row r="162" spans="1:15" x14ac:dyDescent="0.3">
      <c r="A162" s="44" t="s">
        <v>195</v>
      </c>
      <c r="B162" s="45" t="s">
        <v>13</v>
      </c>
      <c r="C162" s="46">
        <v>45803</v>
      </c>
      <c r="D162" s="45" t="s">
        <v>14</v>
      </c>
      <c r="E162" s="45" t="s">
        <v>15</v>
      </c>
      <c r="F162" s="114">
        <v>3086</v>
      </c>
      <c r="G162" s="114">
        <v>148</v>
      </c>
      <c r="H162" s="114">
        <v>310</v>
      </c>
      <c r="I162" s="114">
        <v>22824</v>
      </c>
      <c r="J162" s="114">
        <v>58103</v>
      </c>
      <c r="K162" s="114">
        <v>275</v>
      </c>
      <c r="L162" s="45" t="s">
        <v>19</v>
      </c>
      <c r="M162" s="45"/>
      <c r="N162" s="45" t="s">
        <v>20</v>
      </c>
      <c r="O162" s="84">
        <v>0.1552751489660007</v>
      </c>
    </row>
    <row r="163" spans="1:15" x14ac:dyDescent="0.3">
      <c r="A163" s="44" t="s">
        <v>196</v>
      </c>
      <c r="B163" s="45" t="s">
        <v>13</v>
      </c>
      <c r="C163" s="46">
        <v>45610</v>
      </c>
      <c r="D163" s="45" t="s">
        <v>14</v>
      </c>
      <c r="E163" s="45" t="s">
        <v>29</v>
      </c>
      <c r="F163" s="114">
        <v>2422</v>
      </c>
      <c r="G163" s="114">
        <v>318</v>
      </c>
      <c r="H163" s="114">
        <v>118</v>
      </c>
      <c r="I163" s="114">
        <v>25386</v>
      </c>
      <c r="J163" s="114">
        <v>20873</v>
      </c>
      <c r="K163" s="114">
        <v>100</v>
      </c>
      <c r="L163" s="45" t="s">
        <v>40</v>
      </c>
      <c r="M163" s="45" t="s">
        <v>37</v>
      </c>
      <c r="N163" s="45" t="s">
        <v>16</v>
      </c>
      <c r="O163" s="84">
        <v>0.11258173796580792</v>
      </c>
    </row>
    <row r="164" spans="1:15" x14ac:dyDescent="0.3">
      <c r="A164" s="41" t="s">
        <v>197</v>
      </c>
      <c r="B164" s="42" t="s">
        <v>28</v>
      </c>
      <c r="C164" s="43">
        <v>45513</v>
      </c>
      <c r="D164" s="42" t="s">
        <v>52</v>
      </c>
      <c r="E164" s="42" t="s">
        <v>44</v>
      </c>
      <c r="F164" s="113">
        <v>3414</v>
      </c>
      <c r="G164" s="113">
        <v>154</v>
      </c>
      <c r="H164" s="113">
        <v>204</v>
      </c>
      <c r="I164" s="113">
        <v>34146</v>
      </c>
      <c r="J164" s="113">
        <v>44633</v>
      </c>
      <c r="K164" s="113">
        <v>256</v>
      </c>
      <c r="L164" s="42" t="s">
        <v>19</v>
      </c>
      <c r="M164" s="42" t="s">
        <v>40</v>
      </c>
      <c r="N164" s="42" t="s">
        <v>53</v>
      </c>
      <c r="O164" s="83">
        <v>0.11046681895390383</v>
      </c>
    </row>
    <row r="165" spans="1:15" x14ac:dyDescent="0.3">
      <c r="A165" s="44" t="s">
        <v>198</v>
      </c>
      <c r="B165" s="45" t="s">
        <v>13</v>
      </c>
      <c r="C165" s="46">
        <v>45835</v>
      </c>
      <c r="D165" s="45" t="s">
        <v>23</v>
      </c>
      <c r="E165" s="45" t="s">
        <v>31</v>
      </c>
      <c r="F165" s="114">
        <v>1342</v>
      </c>
      <c r="G165" s="114">
        <v>332</v>
      </c>
      <c r="H165" s="114">
        <v>163</v>
      </c>
      <c r="I165" s="114">
        <v>51712</v>
      </c>
      <c r="J165" s="114">
        <v>57922</v>
      </c>
      <c r="K165" s="114">
        <v>168</v>
      </c>
      <c r="L165" s="45" t="s">
        <v>37</v>
      </c>
      <c r="M165" s="45"/>
      <c r="N165" s="45" t="s">
        <v>50</v>
      </c>
      <c r="O165" s="84">
        <v>3.5523669554455448E-2</v>
      </c>
    </row>
    <row r="166" spans="1:15" x14ac:dyDescent="0.3">
      <c r="A166" s="44" t="s">
        <v>199</v>
      </c>
      <c r="B166" s="45" t="s">
        <v>13</v>
      </c>
      <c r="C166" s="46">
        <v>45420</v>
      </c>
      <c r="D166" s="45" t="s">
        <v>23</v>
      </c>
      <c r="E166" s="45" t="s">
        <v>29</v>
      </c>
      <c r="F166" s="114">
        <v>2414</v>
      </c>
      <c r="G166" s="114">
        <v>220</v>
      </c>
      <c r="H166" s="114">
        <v>280</v>
      </c>
      <c r="I166" s="114">
        <v>27355</v>
      </c>
      <c r="J166" s="114">
        <v>50562</v>
      </c>
      <c r="K166" s="114">
        <v>258</v>
      </c>
      <c r="L166" s="45" t="s">
        <v>37</v>
      </c>
      <c r="M166" s="45"/>
      <c r="N166" s="45" t="s">
        <v>50</v>
      </c>
      <c r="O166" s="84">
        <v>0.10652531529884847</v>
      </c>
    </row>
    <row r="167" spans="1:15" x14ac:dyDescent="0.3">
      <c r="A167" s="44" t="s">
        <v>200</v>
      </c>
      <c r="B167" s="45" t="s">
        <v>13</v>
      </c>
      <c r="C167" s="46">
        <v>45387</v>
      </c>
      <c r="D167" s="45" t="s">
        <v>14</v>
      </c>
      <c r="E167" s="45" t="s">
        <v>24</v>
      </c>
      <c r="F167" s="114">
        <v>4383</v>
      </c>
      <c r="G167" s="114">
        <v>352</v>
      </c>
      <c r="H167" s="114">
        <v>176</v>
      </c>
      <c r="I167" s="114">
        <v>53239</v>
      </c>
      <c r="J167" s="114">
        <v>34168</v>
      </c>
      <c r="K167" s="114">
        <v>288</v>
      </c>
      <c r="L167" s="45" t="s">
        <v>19</v>
      </c>
      <c r="M167" s="45"/>
      <c r="N167" s="45" t="s">
        <v>20</v>
      </c>
      <c r="O167" s="84">
        <v>9.2244407295403744E-2</v>
      </c>
    </row>
    <row r="168" spans="1:15" x14ac:dyDescent="0.3">
      <c r="A168" s="44" t="s">
        <v>201</v>
      </c>
      <c r="B168" s="45" t="s">
        <v>28</v>
      </c>
      <c r="C168" s="46">
        <v>45684</v>
      </c>
      <c r="D168" s="45" t="s">
        <v>14</v>
      </c>
      <c r="E168" s="45" t="s">
        <v>26</v>
      </c>
      <c r="F168" s="114">
        <v>4294</v>
      </c>
      <c r="G168" s="114">
        <v>423</v>
      </c>
      <c r="H168" s="114">
        <v>93</v>
      </c>
      <c r="I168" s="114">
        <v>29828</v>
      </c>
      <c r="J168" s="114">
        <v>73144</v>
      </c>
      <c r="K168" s="114">
        <v>298</v>
      </c>
      <c r="L168" s="45" t="s">
        <v>19</v>
      </c>
      <c r="M168" s="45" t="s">
        <v>338</v>
      </c>
      <c r="N168" s="45" t="s">
        <v>20</v>
      </c>
      <c r="O168" s="84">
        <v>0.1612578785034196</v>
      </c>
    </row>
    <row r="169" spans="1:15" x14ac:dyDescent="0.3">
      <c r="A169" s="44" t="s">
        <v>202</v>
      </c>
      <c r="B169" s="45" t="s">
        <v>13</v>
      </c>
      <c r="C169" s="46">
        <v>45385</v>
      </c>
      <c r="D169" s="45" t="s">
        <v>14</v>
      </c>
      <c r="E169" s="45" t="s">
        <v>36</v>
      </c>
      <c r="F169" s="114">
        <v>2762</v>
      </c>
      <c r="G169" s="114">
        <v>339</v>
      </c>
      <c r="H169" s="114">
        <v>323</v>
      </c>
      <c r="I169" s="114">
        <v>33757</v>
      </c>
      <c r="J169" s="114">
        <v>68511</v>
      </c>
      <c r="K169" s="114">
        <v>121</v>
      </c>
      <c r="L169" s="45" t="s">
        <v>40</v>
      </c>
      <c r="M169" s="45" t="s">
        <v>37</v>
      </c>
      <c r="N169" s="45" t="s">
        <v>16</v>
      </c>
      <c r="O169" s="84">
        <v>0.10143081434961637</v>
      </c>
    </row>
    <row r="170" spans="1:15" x14ac:dyDescent="0.3">
      <c r="A170" s="41" t="s">
        <v>203</v>
      </c>
      <c r="B170" s="42" t="s">
        <v>28</v>
      </c>
      <c r="C170" s="43">
        <v>45660</v>
      </c>
      <c r="D170" s="42" t="s">
        <v>14</v>
      </c>
      <c r="E170" s="42" t="s">
        <v>24</v>
      </c>
      <c r="F170" s="113">
        <v>3782</v>
      </c>
      <c r="G170" s="113">
        <v>484</v>
      </c>
      <c r="H170" s="113">
        <v>144</v>
      </c>
      <c r="I170" s="113">
        <v>52172</v>
      </c>
      <c r="J170" s="113">
        <v>59386</v>
      </c>
      <c r="K170" s="113">
        <v>175</v>
      </c>
      <c r="L170" s="42" t="s">
        <v>19</v>
      </c>
      <c r="M170" s="42" t="s">
        <v>338</v>
      </c>
      <c r="N170" s="42" t="s">
        <v>20</v>
      </c>
      <c r="O170" s="83">
        <v>8.4528099363643333E-2</v>
      </c>
    </row>
    <row r="171" spans="1:15" x14ac:dyDescent="0.3">
      <c r="A171" s="41" t="s">
        <v>204</v>
      </c>
      <c r="B171" s="42" t="s">
        <v>22</v>
      </c>
      <c r="C171" s="43">
        <v>45619</v>
      </c>
      <c r="D171" s="42" t="s">
        <v>14</v>
      </c>
      <c r="E171" s="42" t="s">
        <v>24</v>
      </c>
      <c r="F171" s="113">
        <v>4318</v>
      </c>
      <c r="G171" s="113">
        <v>371</v>
      </c>
      <c r="H171" s="113">
        <v>329</v>
      </c>
      <c r="I171" s="113">
        <v>32347</v>
      </c>
      <c r="J171" s="113">
        <v>68956</v>
      </c>
      <c r="K171" s="113">
        <v>259</v>
      </c>
      <c r="L171" s="42" t="s">
        <v>40</v>
      </c>
      <c r="M171" s="42"/>
      <c r="N171" s="42" t="s">
        <v>20</v>
      </c>
      <c r="O171" s="83">
        <v>0.15513030574705536</v>
      </c>
    </row>
    <row r="172" spans="1:15" x14ac:dyDescent="0.3">
      <c r="A172" s="44" t="s">
        <v>205</v>
      </c>
      <c r="B172" s="45" t="s">
        <v>13</v>
      </c>
      <c r="C172" s="46">
        <v>45536</v>
      </c>
      <c r="D172" s="45" t="s">
        <v>23</v>
      </c>
      <c r="E172" s="45" t="s">
        <v>26</v>
      </c>
      <c r="F172" s="114">
        <v>2335</v>
      </c>
      <c r="G172" s="114">
        <v>150</v>
      </c>
      <c r="H172" s="114">
        <v>75</v>
      </c>
      <c r="I172" s="114">
        <v>26114</v>
      </c>
      <c r="J172" s="114">
        <v>57549</v>
      </c>
      <c r="K172" s="114">
        <v>135</v>
      </c>
      <c r="L172" s="45" t="s">
        <v>37</v>
      </c>
      <c r="M172" s="45"/>
      <c r="N172" s="45" t="s">
        <v>50</v>
      </c>
      <c r="O172" s="84">
        <v>9.8031707130274953E-2</v>
      </c>
    </row>
    <row r="173" spans="1:15" x14ac:dyDescent="0.3">
      <c r="A173" s="41" t="s">
        <v>206</v>
      </c>
      <c r="B173" s="42" t="s">
        <v>28</v>
      </c>
      <c r="C173" s="43">
        <v>45400</v>
      </c>
      <c r="D173" s="42" t="s">
        <v>14</v>
      </c>
      <c r="E173" s="42" t="s">
        <v>18</v>
      </c>
      <c r="F173" s="113">
        <v>4023</v>
      </c>
      <c r="G173" s="113">
        <v>293</v>
      </c>
      <c r="H173" s="113">
        <v>91</v>
      </c>
      <c r="I173" s="113">
        <v>26795</v>
      </c>
      <c r="J173" s="113">
        <v>28924</v>
      </c>
      <c r="K173" s="113">
        <v>278</v>
      </c>
      <c r="L173" s="42" t="s">
        <v>19</v>
      </c>
      <c r="M173" s="42" t="s">
        <v>338</v>
      </c>
      <c r="N173" s="42" t="s">
        <v>20</v>
      </c>
      <c r="O173" s="83">
        <v>0.16447098339242397</v>
      </c>
    </row>
    <row r="174" spans="1:15" x14ac:dyDescent="0.3">
      <c r="A174" s="44" t="s">
        <v>207</v>
      </c>
      <c r="B174" s="45" t="s">
        <v>13</v>
      </c>
      <c r="C174" s="46">
        <v>45447</v>
      </c>
      <c r="D174" s="45" t="s">
        <v>14</v>
      </c>
      <c r="E174" s="45" t="s">
        <v>33</v>
      </c>
      <c r="F174" s="114">
        <v>3948</v>
      </c>
      <c r="G174" s="114">
        <v>151</v>
      </c>
      <c r="H174" s="114">
        <v>249</v>
      </c>
      <c r="I174" s="114">
        <v>43147</v>
      </c>
      <c r="J174" s="114">
        <v>63136</v>
      </c>
      <c r="K174" s="114">
        <v>230</v>
      </c>
      <c r="L174" s="45" t="s">
        <v>19</v>
      </c>
      <c r="M174" s="45"/>
      <c r="N174" s="45" t="s">
        <v>20</v>
      </c>
      <c r="O174" s="84">
        <v>0.10077178019329269</v>
      </c>
    </row>
    <row r="175" spans="1:15" x14ac:dyDescent="0.3">
      <c r="A175" s="41" t="s">
        <v>208</v>
      </c>
      <c r="B175" s="42" t="s">
        <v>28</v>
      </c>
      <c r="C175" s="43">
        <v>45749</v>
      </c>
      <c r="D175" s="42" t="s">
        <v>14</v>
      </c>
      <c r="E175" s="42" t="s">
        <v>26</v>
      </c>
      <c r="F175" s="113">
        <v>4598</v>
      </c>
      <c r="G175" s="113">
        <v>455</v>
      </c>
      <c r="H175" s="113">
        <v>378</v>
      </c>
      <c r="I175" s="113">
        <v>52952</v>
      </c>
      <c r="J175" s="113">
        <v>58504</v>
      </c>
      <c r="K175" s="113">
        <v>269</v>
      </c>
      <c r="L175" s="42" t="s">
        <v>19</v>
      </c>
      <c r="M175" s="42" t="s">
        <v>338</v>
      </c>
      <c r="N175" s="42" t="s">
        <v>20</v>
      </c>
      <c r="O175" s="83">
        <v>0.10256458679558846</v>
      </c>
    </row>
    <row r="176" spans="1:15" x14ac:dyDescent="0.3">
      <c r="A176" s="41" t="s">
        <v>209</v>
      </c>
      <c r="B176" s="42" t="s">
        <v>22</v>
      </c>
      <c r="C176" s="43">
        <v>45748</v>
      </c>
      <c r="D176" s="42" t="s">
        <v>23</v>
      </c>
      <c r="E176" s="42" t="s">
        <v>29</v>
      </c>
      <c r="F176" s="113">
        <v>2665</v>
      </c>
      <c r="G176" s="113">
        <v>143</v>
      </c>
      <c r="H176" s="113">
        <v>315</v>
      </c>
      <c r="I176" s="113">
        <v>54808</v>
      </c>
      <c r="J176" s="113">
        <v>29818</v>
      </c>
      <c r="K176" s="113">
        <v>98</v>
      </c>
      <c r="L176" s="42" t="s">
        <v>19</v>
      </c>
      <c r="M176" s="42" t="s">
        <v>337</v>
      </c>
      <c r="N176" s="42" t="s">
        <v>16</v>
      </c>
      <c r="O176" s="83">
        <v>5.6980732739746021E-2</v>
      </c>
    </row>
    <row r="177" spans="1:15" x14ac:dyDescent="0.3">
      <c r="A177" s="41" t="s">
        <v>210</v>
      </c>
      <c r="B177" s="42" t="s">
        <v>13</v>
      </c>
      <c r="C177" s="43">
        <v>45475</v>
      </c>
      <c r="D177" s="42" t="s">
        <v>14</v>
      </c>
      <c r="E177" s="42" t="s">
        <v>36</v>
      </c>
      <c r="F177" s="113">
        <v>3469</v>
      </c>
      <c r="G177" s="113">
        <v>371</v>
      </c>
      <c r="H177" s="113">
        <v>76</v>
      </c>
      <c r="I177" s="113">
        <v>46493</v>
      </c>
      <c r="J177" s="113">
        <v>26906</v>
      </c>
      <c r="K177" s="113">
        <v>150</v>
      </c>
      <c r="L177" s="42" t="s">
        <v>40</v>
      </c>
      <c r="M177" s="42" t="s">
        <v>37</v>
      </c>
      <c r="N177" s="42" t="s">
        <v>16</v>
      </c>
      <c r="O177" s="83">
        <v>8.4227733207149463E-2</v>
      </c>
    </row>
    <row r="178" spans="1:15" x14ac:dyDescent="0.3">
      <c r="A178" s="44" t="s">
        <v>211</v>
      </c>
      <c r="B178" s="45" t="s">
        <v>22</v>
      </c>
      <c r="C178" s="46">
        <v>45606</v>
      </c>
      <c r="D178" s="45" t="s">
        <v>14</v>
      </c>
      <c r="E178" s="45" t="s">
        <v>18</v>
      </c>
      <c r="F178" s="114">
        <v>4823</v>
      </c>
      <c r="G178" s="114">
        <v>489</v>
      </c>
      <c r="H178" s="114">
        <v>302</v>
      </c>
      <c r="I178" s="114">
        <v>32470</v>
      </c>
      <c r="J178" s="114">
        <v>31861</v>
      </c>
      <c r="K178" s="114">
        <v>178</v>
      </c>
      <c r="L178" s="45" t="s">
        <v>40</v>
      </c>
      <c r="M178" s="45"/>
      <c r="N178" s="45" t="s">
        <v>20</v>
      </c>
      <c r="O178" s="84">
        <v>0.1728980597474592</v>
      </c>
    </row>
    <row r="179" spans="1:15" x14ac:dyDescent="0.3">
      <c r="A179" s="44" t="s">
        <v>212</v>
      </c>
      <c r="B179" s="45" t="s">
        <v>13</v>
      </c>
      <c r="C179" s="46">
        <v>45640</v>
      </c>
      <c r="D179" s="45" t="s">
        <v>23</v>
      </c>
      <c r="E179" s="45" t="s">
        <v>44</v>
      </c>
      <c r="F179" s="114">
        <v>3812</v>
      </c>
      <c r="G179" s="114">
        <v>321</v>
      </c>
      <c r="H179" s="114">
        <v>289</v>
      </c>
      <c r="I179" s="114">
        <v>59838</v>
      </c>
      <c r="J179" s="114">
        <v>36337</v>
      </c>
      <c r="K179" s="114">
        <v>161</v>
      </c>
      <c r="L179" s="45" t="s">
        <v>37</v>
      </c>
      <c r="M179" s="45"/>
      <c r="N179" s="45" t="s">
        <v>50</v>
      </c>
      <c r="O179" s="84">
        <v>7.3899528727564417E-2</v>
      </c>
    </row>
    <row r="180" spans="1:15" x14ac:dyDescent="0.3">
      <c r="A180" s="41" t="s">
        <v>213</v>
      </c>
      <c r="B180" s="42" t="s">
        <v>22</v>
      </c>
      <c r="C180" s="43">
        <v>45615</v>
      </c>
      <c r="D180" s="42" t="s">
        <v>14</v>
      </c>
      <c r="E180" s="42" t="s">
        <v>18</v>
      </c>
      <c r="F180" s="113">
        <v>2387</v>
      </c>
      <c r="G180" s="113">
        <v>353</v>
      </c>
      <c r="H180" s="113">
        <v>78</v>
      </c>
      <c r="I180" s="113">
        <v>39745</v>
      </c>
      <c r="J180" s="113">
        <v>69226</v>
      </c>
      <c r="K180" s="113">
        <v>208</v>
      </c>
      <c r="L180" s="42" t="s">
        <v>40</v>
      </c>
      <c r="M180" s="42"/>
      <c r="N180" s="42" t="s">
        <v>20</v>
      </c>
      <c r="O180" s="83">
        <v>7.090200025160398E-2</v>
      </c>
    </row>
    <row r="181" spans="1:15" x14ac:dyDescent="0.3">
      <c r="A181" s="41" t="s">
        <v>214</v>
      </c>
      <c r="B181" s="42" t="s">
        <v>22</v>
      </c>
      <c r="C181" s="43">
        <v>45777</v>
      </c>
      <c r="D181" s="42" t="s">
        <v>23</v>
      </c>
      <c r="E181" s="42" t="s">
        <v>26</v>
      </c>
      <c r="F181" s="113">
        <v>3929</v>
      </c>
      <c r="G181" s="113">
        <v>275</v>
      </c>
      <c r="H181" s="113">
        <v>330</v>
      </c>
      <c r="I181" s="113">
        <v>58329</v>
      </c>
      <c r="J181" s="113">
        <v>33196</v>
      </c>
      <c r="K181" s="113">
        <v>85</v>
      </c>
      <c r="L181" s="42" t="s">
        <v>337</v>
      </c>
      <c r="M181" s="42" t="s">
        <v>37</v>
      </c>
      <c r="N181" s="42" t="s">
        <v>16</v>
      </c>
      <c r="O181" s="83">
        <v>7.7731488624869283E-2</v>
      </c>
    </row>
    <row r="182" spans="1:15" x14ac:dyDescent="0.3">
      <c r="A182" s="44" t="s">
        <v>215</v>
      </c>
      <c r="B182" s="45" t="s">
        <v>22</v>
      </c>
      <c r="C182" s="46">
        <v>45370</v>
      </c>
      <c r="D182" s="45" t="s">
        <v>14</v>
      </c>
      <c r="E182" s="45" t="s">
        <v>44</v>
      </c>
      <c r="F182" s="114">
        <v>2191</v>
      </c>
      <c r="G182" s="114">
        <v>288</v>
      </c>
      <c r="H182" s="114">
        <v>83</v>
      </c>
      <c r="I182" s="114">
        <v>59606</v>
      </c>
      <c r="J182" s="114">
        <v>24765</v>
      </c>
      <c r="K182" s="114">
        <v>281</v>
      </c>
      <c r="L182" s="45" t="s">
        <v>40</v>
      </c>
      <c r="M182" s="45"/>
      <c r="N182" s="45" t="s">
        <v>20</v>
      </c>
      <c r="O182" s="84">
        <v>4.2982250109049422E-2</v>
      </c>
    </row>
    <row r="183" spans="1:15" x14ac:dyDescent="0.3">
      <c r="A183" s="41" t="s">
        <v>216</v>
      </c>
      <c r="B183" s="42" t="s">
        <v>13</v>
      </c>
      <c r="C183" s="43">
        <v>45370</v>
      </c>
      <c r="D183" s="42" t="s">
        <v>14</v>
      </c>
      <c r="E183" s="42" t="s">
        <v>44</v>
      </c>
      <c r="F183" s="113">
        <v>2878</v>
      </c>
      <c r="G183" s="113">
        <v>278</v>
      </c>
      <c r="H183" s="113">
        <v>255</v>
      </c>
      <c r="I183" s="113">
        <v>47235</v>
      </c>
      <c r="J183" s="113">
        <v>57922</v>
      </c>
      <c r="K183" s="113">
        <v>112</v>
      </c>
      <c r="L183" s="42" t="s">
        <v>40</v>
      </c>
      <c r="M183" s="42" t="s">
        <v>37</v>
      </c>
      <c r="N183" s="42" t="s">
        <v>16</v>
      </c>
      <c r="O183" s="83">
        <v>7.2213401079707848E-2</v>
      </c>
    </row>
    <row r="184" spans="1:15" x14ac:dyDescent="0.3">
      <c r="A184" s="41" t="s">
        <v>217</v>
      </c>
      <c r="B184" s="42" t="s">
        <v>22</v>
      </c>
      <c r="C184" s="43">
        <v>45496</v>
      </c>
      <c r="D184" s="42" t="s">
        <v>14</v>
      </c>
      <c r="E184" s="42" t="s">
        <v>36</v>
      </c>
      <c r="F184" s="113">
        <v>3204</v>
      </c>
      <c r="G184" s="113">
        <v>398</v>
      </c>
      <c r="H184" s="113">
        <v>85</v>
      </c>
      <c r="I184" s="113">
        <v>22020</v>
      </c>
      <c r="J184" s="113">
        <v>58353</v>
      </c>
      <c r="K184" s="113">
        <v>286</v>
      </c>
      <c r="L184" s="42" t="s">
        <v>40</v>
      </c>
      <c r="M184" s="42"/>
      <c r="N184" s="42" t="s">
        <v>20</v>
      </c>
      <c r="O184" s="83">
        <v>0.16743869209809265</v>
      </c>
    </row>
    <row r="185" spans="1:15" x14ac:dyDescent="0.3">
      <c r="A185" s="41" t="s">
        <v>218</v>
      </c>
      <c r="B185" s="42" t="s">
        <v>22</v>
      </c>
      <c r="C185" s="43">
        <v>45486</v>
      </c>
      <c r="D185" s="42" t="s">
        <v>23</v>
      </c>
      <c r="E185" s="42" t="s">
        <v>33</v>
      </c>
      <c r="F185" s="113">
        <v>2408</v>
      </c>
      <c r="G185" s="113">
        <v>323</v>
      </c>
      <c r="H185" s="113">
        <v>251</v>
      </c>
      <c r="I185" s="113">
        <v>47599</v>
      </c>
      <c r="J185" s="113">
        <v>35543</v>
      </c>
      <c r="K185" s="113">
        <v>287</v>
      </c>
      <c r="L185" s="42" t="s">
        <v>337</v>
      </c>
      <c r="M185" s="42" t="s">
        <v>37</v>
      </c>
      <c r="N185" s="42" t="s">
        <v>16</v>
      </c>
      <c r="O185" s="83">
        <v>6.2648374965860634E-2</v>
      </c>
    </row>
    <row r="186" spans="1:15" x14ac:dyDescent="0.3">
      <c r="A186" s="44" t="s">
        <v>219</v>
      </c>
      <c r="B186" s="45" t="s">
        <v>28</v>
      </c>
      <c r="C186" s="46">
        <v>45769</v>
      </c>
      <c r="D186" s="45" t="s">
        <v>52</v>
      </c>
      <c r="E186" s="45" t="s">
        <v>24</v>
      </c>
      <c r="F186" s="114">
        <v>2733</v>
      </c>
      <c r="G186" s="114">
        <v>297</v>
      </c>
      <c r="H186" s="114">
        <v>235</v>
      </c>
      <c r="I186" s="114">
        <v>37980</v>
      </c>
      <c r="J186" s="114">
        <v>33058</v>
      </c>
      <c r="K186" s="114">
        <v>219</v>
      </c>
      <c r="L186" s="45" t="s">
        <v>19</v>
      </c>
      <c r="M186" s="45" t="s">
        <v>40</v>
      </c>
      <c r="N186" s="45" t="s">
        <v>53</v>
      </c>
      <c r="O186" s="84">
        <v>8.5966298051606105E-2</v>
      </c>
    </row>
    <row r="187" spans="1:15" x14ac:dyDescent="0.3">
      <c r="A187" s="41" t="s">
        <v>220</v>
      </c>
      <c r="B187" s="42" t="s">
        <v>22</v>
      </c>
      <c r="C187" s="43">
        <v>45459</v>
      </c>
      <c r="D187" s="42" t="s">
        <v>23</v>
      </c>
      <c r="E187" s="42" t="s">
        <v>18</v>
      </c>
      <c r="F187" s="113">
        <v>4618</v>
      </c>
      <c r="G187" s="113">
        <v>312</v>
      </c>
      <c r="H187" s="113">
        <v>254</v>
      </c>
      <c r="I187" s="113">
        <v>22571</v>
      </c>
      <c r="J187" s="113">
        <v>29453</v>
      </c>
      <c r="K187" s="113">
        <v>197</v>
      </c>
      <c r="L187" s="42" t="s">
        <v>337</v>
      </c>
      <c r="M187" s="42" t="s">
        <v>37</v>
      </c>
      <c r="N187" s="42" t="s">
        <v>16</v>
      </c>
      <c r="O187" s="83">
        <v>0.22967524699836073</v>
      </c>
    </row>
    <row r="188" spans="1:15" x14ac:dyDescent="0.3">
      <c r="A188" s="44" t="s">
        <v>221</v>
      </c>
      <c r="B188" s="45" t="s">
        <v>28</v>
      </c>
      <c r="C188" s="46">
        <v>45795</v>
      </c>
      <c r="D188" s="45" t="s">
        <v>52</v>
      </c>
      <c r="E188" s="45" t="s">
        <v>26</v>
      </c>
      <c r="F188" s="114">
        <v>4210</v>
      </c>
      <c r="G188" s="114">
        <v>319</v>
      </c>
      <c r="H188" s="114">
        <v>350</v>
      </c>
      <c r="I188" s="114">
        <v>37762</v>
      </c>
      <c r="J188" s="114">
        <v>55162</v>
      </c>
      <c r="K188" s="114">
        <v>204</v>
      </c>
      <c r="L188" s="45" t="s">
        <v>19</v>
      </c>
      <c r="M188" s="45" t="s">
        <v>40</v>
      </c>
      <c r="N188" s="45" t="s">
        <v>53</v>
      </c>
      <c r="O188" s="84">
        <v>0.12920396165457337</v>
      </c>
    </row>
    <row r="189" spans="1:15" x14ac:dyDescent="0.3">
      <c r="A189" s="41" t="s">
        <v>222</v>
      </c>
      <c r="B189" s="42" t="s">
        <v>13</v>
      </c>
      <c r="C189" s="43">
        <v>45814</v>
      </c>
      <c r="D189" s="42" t="s">
        <v>14</v>
      </c>
      <c r="E189" s="42" t="s">
        <v>26</v>
      </c>
      <c r="F189" s="113">
        <v>3987</v>
      </c>
      <c r="G189" s="113">
        <v>171</v>
      </c>
      <c r="H189" s="113">
        <v>274</v>
      </c>
      <c r="I189" s="113">
        <v>45122</v>
      </c>
      <c r="J189" s="113">
        <v>65431</v>
      </c>
      <c r="K189" s="113">
        <v>168</v>
      </c>
      <c r="L189" s="42" t="s">
        <v>19</v>
      </c>
      <c r="M189" s="42"/>
      <c r="N189" s="42" t="s">
        <v>20</v>
      </c>
      <c r="O189" s="83">
        <v>9.8222596516111871E-2</v>
      </c>
    </row>
    <row r="190" spans="1:15" x14ac:dyDescent="0.3">
      <c r="A190" s="44" t="s">
        <v>223</v>
      </c>
      <c r="B190" s="45" t="s">
        <v>28</v>
      </c>
      <c r="C190" s="46">
        <v>45708</v>
      </c>
      <c r="D190" s="45" t="s">
        <v>52</v>
      </c>
      <c r="E190" s="45" t="s">
        <v>33</v>
      </c>
      <c r="F190" s="114">
        <v>4957</v>
      </c>
      <c r="G190" s="114">
        <v>262</v>
      </c>
      <c r="H190" s="114">
        <v>365</v>
      </c>
      <c r="I190" s="114">
        <v>49199</v>
      </c>
      <c r="J190" s="114">
        <v>40314</v>
      </c>
      <c r="K190" s="114">
        <v>216</v>
      </c>
      <c r="L190" s="45" t="s">
        <v>19</v>
      </c>
      <c r="M190" s="45" t="s">
        <v>40</v>
      </c>
      <c r="N190" s="45" t="s">
        <v>53</v>
      </c>
      <c r="O190" s="84">
        <v>0.11349824183418362</v>
      </c>
    </row>
    <row r="191" spans="1:15" x14ac:dyDescent="0.3">
      <c r="A191" s="44" t="s">
        <v>224</v>
      </c>
      <c r="B191" s="45" t="s">
        <v>13</v>
      </c>
      <c r="C191" s="46">
        <v>45673</v>
      </c>
      <c r="D191" s="45" t="s">
        <v>14</v>
      </c>
      <c r="E191" s="45" t="s">
        <v>29</v>
      </c>
      <c r="F191" s="114">
        <v>2605</v>
      </c>
      <c r="G191" s="114">
        <v>282</v>
      </c>
      <c r="H191" s="114">
        <v>148</v>
      </c>
      <c r="I191" s="114">
        <v>32201</v>
      </c>
      <c r="J191" s="114">
        <v>49583</v>
      </c>
      <c r="K191" s="114">
        <v>241</v>
      </c>
      <c r="L191" s="45" t="s">
        <v>40</v>
      </c>
      <c r="M191" s="45" t="s">
        <v>37</v>
      </c>
      <c r="N191" s="45" t="s">
        <v>16</v>
      </c>
      <c r="O191" s="84">
        <v>9.4251731312692155E-2</v>
      </c>
    </row>
    <row r="192" spans="1:15" x14ac:dyDescent="0.3">
      <c r="A192" s="41" t="s">
        <v>225</v>
      </c>
      <c r="B192" s="42" t="s">
        <v>28</v>
      </c>
      <c r="C192" s="43">
        <v>45346</v>
      </c>
      <c r="D192" s="42" t="s">
        <v>52</v>
      </c>
      <c r="E192" s="42" t="s">
        <v>15</v>
      </c>
      <c r="F192" s="113">
        <v>4221</v>
      </c>
      <c r="G192" s="113">
        <v>307</v>
      </c>
      <c r="H192" s="113">
        <v>58</v>
      </c>
      <c r="I192" s="113">
        <v>45080</v>
      </c>
      <c r="J192" s="113">
        <v>37214</v>
      </c>
      <c r="K192" s="113">
        <v>240</v>
      </c>
      <c r="L192" s="42" t="s">
        <v>19</v>
      </c>
      <c r="M192" s="42" t="s">
        <v>40</v>
      </c>
      <c r="N192" s="42" t="s">
        <v>53</v>
      </c>
      <c r="O192" s="83">
        <v>0.10173025732031943</v>
      </c>
    </row>
    <row r="193" spans="1:15" x14ac:dyDescent="0.3">
      <c r="A193" s="41" t="s">
        <v>226</v>
      </c>
      <c r="B193" s="42" t="s">
        <v>22</v>
      </c>
      <c r="C193" s="43">
        <v>45551</v>
      </c>
      <c r="D193" s="42" t="s">
        <v>23</v>
      </c>
      <c r="E193" s="42" t="s">
        <v>31</v>
      </c>
      <c r="F193" s="113">
        <v>4422</v>
      </c>
      <c r="G193" s="113">
        <v>434</v>
      </c>
      <c r="H193" s="113">
        <v>156</v>
      </c>
      <c r="I193" s="113">
        <v>56165</v>
      </c>
      <c r="J193" s="113">
        <v>52431</v>
      </c>
      <c r="K193" s="113">
        <v>173</v>
      </c>
      <c r="L193" s="42" t="s">
        <v>19</v>
      </c>
      <c r="M193" s="42" t="s">
        <v>337</v>
      </c>
      <c r="N193" s="42" t="s">
        <v>16</v>
      </c>
      <c r="O193" s="83">
        <v>8.9237069349238848E-2</v>
      </c>
    </row>
    <row r="194" spans="1:15" x14ac:dyDescent="0.3">
      <c r="A194" s="41" t="s">
        <v>227</v>
      </c>
      <c r="B194" s="42" t="s">
        <v>28</v>
      </c>
      <c r="C194" s="43">
        <v>45447</v>
      </c>
      <c r="D194" s="42" t="s">
        <v>52</v>
      </c>
      <c r="E194" s="42" t="s">
        <v>26</v>
      </c>
      <c r="F194" s="113">
        <v>1211</v>
      </c>
      <c r="G194" s="113">
        <v>431</v>
      </c>
      <c r="H194" s="113">
        <v>83</v>
      </c>
      <c r="I194" s="113">
        <v>26532</v>
      </c>
      <c r="J194" s="113">
        <v>47305</v>
      </c>
      <c r="K194" s="113">
        <v>232</v>
      </c>
      <c r="L194" s="42" t="s">
        <v>19</v>
      </c>
      <c r="M194" s="42" t="s">
        <v>40</v>
      </c>
      <c r="N194" s="42" t="s">
        <v>53</v>
      </c>
      <c r="O194" s="83">
        <v>6.5015829941203071E-2</v>
      </c>
    </row>
    <row r="195" spans="1:15" x14ac:dyDescent="0.3">
      <c r="A195" s="44" t="s">
        <v>228</v>
      </c>
      <c r="B195" s="45" t="s">
        <v>22</v>
      </c>
      <c r="C195" s="46">
        <v>45422</v>
      </c>
      <c r="D195" s="45" t="s">
        <v>23</v>
      </c>
      <c r="E195" s="45" t="s">
        <v>18</v>
      </c>
      <c r="F195" s="114">
        <v>2784</v>
      </c>
      <c r="G195" s="114">
        <v>111</v>
      </c>
      <c r="H195" s="114">
        <v>399</v>
      </c>
      <c r="I195" s="114">
        <v>58366</v>
      </c>
      <c r="J195" s="114">
        <v>69512</v>
      </c>
      <c r="K195" s="114">
        <v>269</v>
      </c>
      <c r="L195" s="45" t="s">
        <v>337</v>
      </c>
      <c r="M195" s="45" t="s">
        <v>37</v>
      </c>
      <c r="N195" s="45" t="s">
        <v>16</v>
      </c>
      <c r="O195" s="84">
        <v>5.6436966727204191E-2</v>
      </c>
    </row>
    <row r="196" spans="1:15" x14ac:dyDescent="0.3">
      <c r="A196" s="41" t="s">
        <v>229</v>
      </c>
      <c r="B196" s="42" t="s">
        <v>28</v>
      </c>
      <c r="C196" s="43">
        <v>45305</v>
      </c>
      <c r="D196" s="42" t="s">
        <v>14</v>
      </c>
      <c r="E196" s="42" t="s">
        <v>24</v>
      </c>
      <c r="F196" s="113">
        <v>3634</v>
      </c>
      <c r="G196" s="113">
        <v>280</v>
      </c>
      <c r="H196" s="113">
        <v>399</v>
      </c>
      <c r="I196" s="113">
        <v>40256</v>
      </c>
      <c r="J196" s="113">
        <v>52605</v>
      </c>
      <c r="K196" s="113">
        <v>213</v>
      </c>
      <c r="L196" s="42" t="s">
        <v>19</v>
      </c>
      <c r="M196" s="42" t="s">
        <v>338</v>
      </c>
      <c r="N196" s="42" t="s">
        <v>20</v>
      </c>
      <c r="O196" s="83">
        <v>0.10713930842607314</v>
      </c>
    </row>
    <row r="197" spans="1:15" x14ac:dyDescent="0.3">
      <c r="A197" s="44" t="s">
        <v>230</v>
      </c>
      <c r="B197" s="45" t="s">
        <v>13</v>
      </c>
      <c r="C197" s="46">
        <v>45669</v>
      </c>
      <c r="D197" s="45" t="s">
        <v>14</v>
      </c>
      <c r="E197" s="45" t="s">
        <v>44</v>
      </c>
      <c r="F197" s="114">
        <v>1771</v>
      </c>
      <c r="G197" s="114">
        <v>487</v>
      </c>
      <c r="H197" s="114">
        <v>272</v>
      </c>
      <c r="I197" s="114">
        <v>48810</v>
      </c>
      <c r="J197" s="114">
        <v>48084</v>
      </c>
      <c r="K197" s="114">
        <v>272</v>
      </c>
      <c r="L197" s="45" t="s">
        <v>40</v>
      </c>
      <c r="M197" s="45" t="s">
        <v>37</v>
      </c>
      <c r="N197" s="45" t="s">
        <v>16</v>
      </c>
      <c r="O197" s="84">
        <v>5.1833640647408315E-2</v>
      </c>
    </row>
    <row r="198" spans="1:15" x14ac:dyDescent="0.3">
      <c r="A198" s="44" t="s">
        <v>231</v>
      </c>
      <c r="B198" s="45" t="s">
        <v>28</v>
      </c>
      <c r="C198" s="46">
        <v>45634</v>
      </c>
      <c r="D198" s="45" t="s">
        <v>14</v>
      </c>
      <c r="E198" s="45" t="s">
        <v>36</v>
      </c>
      <c r="F198" s="114">
        <v>1424</v>
      </c>
      <c r="G198" s="114">
        <v>396</v>
      </c>
      <c r="H198" s="114">
        <v>312</v>
      </c>
      <c r="I198" s="114">
        <v>59517</v>
      </c>
      <c r="J198" s="114">
        <v>46102</v>
      </c>
      <c r="K198" s="114">
        <v>239</v>
      </c>
      <c r="L198" s="45" t="s">
        <v>19</v>
      </c>
      <c r="M198" s="45" t="s">
        <v>338</v>
      </c>
      <c r="N198" s="45" t="s">
        <v>20</v>
      </c>
      <c r="O198" s="84">
        <v>3.5821698002251455E-2</v>
      </c>
    </row>
    <row r="199" spans="1:15" x14ac:dyDescent="0.3">
      <c r="A199" s="41" t="s">
        <v>232</v>
      </c>
      <c r="B199" s="42" t="s">
        <v>22</v>
      </c>
      <c r="C199" s="43">
        <v>45689</v>
      </c>
      <c r="D199" s="42" t="s">
        <v>23</v>
      </c>
      <c r="E199" s="42" t="s">
        <v>36</v>
      </c>
      <c r="F199" s="113">
        <v>1079</v>
      </c>
      <c r="G199" s="113">
        <v>265</v>
      </c>
      <c r="H199" s="113">
        <v>190</v>
      </c>
      <c r="I199" s="113">
        <v>43786</v>
      </c>
      <c r="J199" s="113">
        <v>72428</v>
      </c>
      <c r="K199" s="113">
        <v>222</v>
      </c>
      <c r="L199" s="42" t="s">
        <v>40</v>
      </c>
      <c r="M199" s="42" t="s">
        <v>37</v>
      </c>
      <c r="N199" s="42" t="s">
        <v>16</v>
      </c>
      <c r="O199" s="83">
        <v>3.5034029141734799E-2</v>
      </c>
    </row>
    <row r="200" spans="1:15" x14ac:dyDescent="0.3">
      <c r="A200" s="41" t="s">
        <v>233</v>
      </c>
      <c r="B200" s="42" t="s">
        <v>22</v>
      </c>
      <c r="C200" s="43">
        <v>45484</v>
      </c>
      <c r="D200" s="42" t="s">
        <v>23</v>
      </c>
      <c r="E200" s="42" t="s">
        <v>33</v>
      </c>
      <c r="F200" s="113">
        <v>4247</v>
      </c>
      <c r="G200" s="113">
        <v>179</v>
      </c>
      <c r="H200" s="113">
        <v>175</v>
      </c>
      <c r="I200" s="113">
        <v>32991</v>
      </c>
      <c r="J200" s="113">
        <v>70120</v>
      </c>
      <c r="K200" s="113">
        <v>276</v>
      </c>
      <c r="L200" s="42" t="s">
        <v>40</v>
      </c>
      <c r="M200" s="42" t="s">
        <v>37</v>
      </c>
      <c r="N200" s="42" t="s">
        <v>16</v>
      </c>
      <c r="O200" s="83">
        <v>0.13946227759085811</v>
      </c>
    </row>
    <row r="201" spans="1:15" x14ac:dyDescent="0.3">
      <c r="A201" s="41" t="s">
        <v>234</v>
      </c>
      <c r="B201" s="42" t="s">
        <v>22</v>
      </c>
      <c r="C201" s="43">
        <v>45369</v>
      </c>
      <c r="D201" s="42" t="s">
        <v>14</v>
      </c>
      <c r="E201" s="42" t="s">
        <v>24</v>
      </c>
      <c r="F201" s="113">
        <v>2033</v>
      </c>
      <c r="G201" s="113">
        <v>420</v>
      </c>
      <c r="H201" s="113">
        <v>94</v>
      </c>
      <c r="I201" s="113">
        <v>56290</v>
      </c>
      <c r="J201" s="113">
        <v>57391</v>
      </c>
      <c r="K201" s="113">
        <v>196</v>
      </c>
      <c r="L201" s="42" t="s">
        <v>37</v>
      </c>
      <c r="M201" s="42"/>
      <c r="N201" s="42" t="s">
        <v>16</v>
      </c>
      <c r="O201" s="83">
        <v>4.5247823769763724E-2</v>
      </c>
    </row>
    <row r="202" spans="1:15" x14ac:dyDescent="0.3">
      <c r="A202" s="44" t="s">
        <v>235</v>
      </c>
      <c r="B202" s="45" t="s">
        <v>22</v>
      </c>
      <c r="C202" s="46">
        <v>45547</v>
      </c>
      <c r="D202" s="45" t="s">
        <v>23</v>
      </c>
      <c r="E202" s="45" t="s">
        <v>26</v>
      </c>
      <c r="F202" s="114">
        <v>1839</v>
      </c>
      <c r="G202" s="114">
        <v>223</v>
      </c>
      <c r="H202" s="114">
        <v>171</v>
      </c>
      <c r="I202" s="114">
        <v>35459</v>
      </c>
      <c r="J202" s="114">
        <v>69988</v>
      </c>
      <c r="K202" s="114">
        <v>114</v>
      </c>
      <c r="L202" s="45" t="s">
        <v>337</v>
      </c>
      <c r="M202" s="45" t="s">
        <v>37</v>
      </c>
      <c r="N202" s="45" t="s">
        <v>16</v>
      </c>
      <c r="O202" s="84">
        <v>6.2974139146620034E-2</v>
      </c>
    </row>
    <row r="203" spans="1:15" x14ac:dyDescent="0.3">
      <c r="A203" s="44" t="s">
        <v>236</v>
      </c>
      <c r="B203" s="45" t="s">
        <v>22</v>
      </c>
      <c r="C203" s="46">
        <v>45302</v>
      </c>
      <c r="D203" s="45" t="s">
        <v>23</v>
      </c>
      <c r="E203" s="45" t="s">
        <v>26</v>
      </c>
      <c r="F203" s="114">
        <v>2340</v>
      </c>
      <c r="G203" s="114">
        <v>141</v>
      </c>
      <c r="H203" s="114">
        <v>206</v>
      </c>
      <c r="I203" s="114">
        <v>24916</v>
      </c>
      <c r="J203" s="114">
        <v>30582</v>
      </c>
      <c r="K203" s="114">
        <v>157</v>
      </c>
      <c r="L203" s="45" t="s">
        <v>40</v>
      </c>
      <c r="M203" s="45" t="s">
        <v>37</v>
      </c>
      <c r="N203" s="45" t="s">
        <v>16</v>
      </c>
      <c r="O203" s="84">
        <v>0.10784235029699792</v>
      </c>
    </row>
    <row r="204" spans="1:15" x14ac:dyDescent="0.3">
      <c r="A204" s="41" t="s">
        <v>237</v>
      </c>
      <c r="B204" s="42" t="s">
        <v>13</v>
      </c>
      <c r="C204" s="43">
        <v>45571</v>
      </c>
      <c r="D204" s="42" t="s">
        <v>14</v>
      </c>
      <c r="E204" s="42" t="s">
        <v>36</v>
      </c>
      <c r="F204" s="113">
        <v>2080</v>
      </c>
      <c r="G204" s="113">
        <v>389</v>
      </c>
      <c r="H204" s="113">
        <v>92</v>
      </c>
      <c r="I204" s="113">
        <v>30971</v>
      </c>
      <c r="J204" s="113">
        <v>25347</v>
      </c>
      <c r="K204" s="113">
        <v>111</v>
      </c>
      <c r="L204" s="42" t="s">
        <v>19</v>
      </c>
      <c r="M204" s="42"/>
      <c r="N204" s="42" t="s">
        <v>20</v>
      </c>
      <c r="O204" s="83">
        <v>8.2690258629040073E-2</v>
      </c>
    </row>
    <row r="205" spans="1:15" x14ac:dyDescent="0.3">
      <c r="A205" s="41" t="s">
        <v>238</v>
      </c>
      <c r="B205" s="42" t="s">
        <v>22</v>
      </c>
      <c r="C205" s="43">
        <v>45656</v>
      </c>
      <c r="D205" s="42" t="s">
        <v>14</v>
      </c>
      <c r="E205" s="42" t="s">
        <v>33</v>
      </c>
      <c r="F205" s="113">
        <v>4214</v>
      </c>
      <c r="G205" s="113">
        <v>286</v>
      </c>
      <c r="H205" s="113">
        <v>127</v>
      </c>
      <c r="I205" s="113">
        <v>47293</v>
      </c>
      <c r="J205" s="113">
        <v>27184</v>
      </c>
      <c r="K205" s="113">
        <v>232</v>
      </c>
      <c r="L205" s="42" t="s">
        <v>37</v>
      </c>
      <c r="M205" s="42"/>
      <c r="N205" s="42" t="s">
        <v>16</v>
      </c>
      <c r="O205" s="83">
        <v>9.7836889180216949E-2</v>
      </c>
    </row>
    <row r="206" spans="1:15" x14ac:dyDescent="0.3">
      <c r="A206" s="44" t="s">
        <v>239</v>
      </c>
      <c r="B206" s="45" t="s">
        <v>22</v>
      </c>
      <c r="C206" s="46">
        <v>45763</v>
      </c>
      <c r="D206" s="45" t="s">
        <v>14</v>
      </c>
      <c r="E206" s="45" t="s">
        <v>26</v>
      </c>
      <c r="F206" s="114">
        <v>3792</v>
      </c>
      <c r="G206" s="114">
        <v>315</v>
      </c>
      <c r="H206" s="114">
        <v>120</v>
      </c>
      <c r="I206" s="114">
        <v>54592</v>
      </c>
      <c r="J206" s="114">
        <v>67886</v>
      </c>
      <c r="K206" s="114">
        <v>117</v>
      </c>
      <c r="L206" s="45" t="s">
        <v>40</v>
      </c>
      <c r="M206" s="45"/>
      <c r="N206" s="45" t="s">
        <v>20</v>
      </c>
      <c r="O206" s="84">
        <v>7.7428927315357568E-2</v>
      </c>
    </row>
    <row r="207" spans="1:15" x14ac:dyDescent="0.3">
      <c r="A207" s="44" t="s">
        <v>240</v>
      </c>
      <c r="B207" s="45" t="s">
        <v>22</v>
      </c>
      <c r="C207" s="46">
        <v>45525</v>
      </c>
      <c r="D207" s="45" t="s">
        <v>23</v>
      </c>
      <c r="E207" s="45" t="s">
        <v>18</v>
      </c>
      <c r="F207" s="114">
        <v>3989</v>
      </c>
      <c r="G207" s="114">
        <v>476</v>
      </c>
      <c r="H207" s="114">
        <v>128</v>
      </c>
      <c r="I207" s="114">
        <v>57569</v>
      </c>
      <c r="J207" s="114">
        <v>40193</v>
      </c>
      <c r="K207" s="114">
        <v>222</v>
      </c>
      <c r="L207" s="45" t="s">
        <v>19</v>
      </c>
      <c r="M207" s="45" t="s">
        <v>337</v>
      </c>
      <c r="N207" s="45" t="s">
        <v>16</v>
      </c>
      <c r="O207" s="84">
        <v>7.9782521843353188E-2</v>
      </c>
    </row>
    <row r="208" spans="1:15" x14ac:dyDescent="0.3">
      <c r="A208" s="44" t="s">
        <v>241</v>
      </c>
      <c r="B208" s="45" t="s">
        <v>22</v>
      </c>
      <c r="C208" s="46">
        <v>45387</v>
      </c>
      <c r="D208" s="45" t="s">
        <v>23</v>
      </c>
      <c r="E208" s="45" t="s">
        <v>26</v>
      </c>
      <c r="F208" s="114">
        <v>2857</v>
      </c>
      <c r="G208" s="114">
        <v>443</v>
      </c>
      <c r="H208" s="114">
        <v>359</v>
      </c>
      <c r="I208" s="114">
        <v>51519</v>
      </c>
      <c r="J208" s="114">
        <v>28256</v>
      </c>
      <c r="K208" s="114">
        <v>155</v>
      </c>
      <c r="L208" s="45" t="s">
        <v>40</v>
      </c>
      <c r="M208" s="45" t="s">
        <v>37</v>
      </c>
      <c r="N208" s="45" t="s">
        <v>16</v>
      </c>
      <c r="O208" s="84">
        <v>7.1022341272152026E-2</v>
      </c>
    </row>
    <row r="209" spans="1:15" x14ac:dyDescent="0.3">
      <c r="A209" s="41" t="s">
        <v>242</v>
      </c>
      <c r="B209" s="42" t="s">
        <v>22</v>
      </c>
      <c r="C209" s="43">
        <v>45754</v>
      </c>
      <c r="D209" s="42" t="s">
        <v>14</v>
      </c>
      <c r="E209" s="42" t="s">
        <v>44</v>
      </c>
      <c r="F209" s="113">
        <v>1403</v>
      </c>
      <c r="G209" s="113">
        <v>385</v>
      </c>
      <c r="H209" s="113">
        <v>344</v>
      </c>
      <c r="I209" s="113">
        <v>54223</v>
      </c>
      <c r="J209" s="113">
        <v>72595</v>
      </c>
      <c r="K209" s="113">
        <v>239</v>
      </c>
      <c r="L209" s="42" t="s">
        <v>40</v>
      </c>
      <c r="M209" s="42"/>
      <c r="N209" s="42" t="s">
        <v>20</v>
      </c>
      <c r="O209" s="83">
        <v>3.9319108127547353E-2</v>
      </c>
    </row>
    <row r="210" spans="1:15" x14ac:dyDescent="0.3">
      <c r="A210" s="41" t="s">
        <v>243</v>
      </c>
      <c r="B210" s="42" t="s">
        <v>22</v>
      </c>
      <c r="C210" s="43">
        <v>45492</v>
      </c>
      <c r="D210" s="42" t="s">
        <v>23</v>
      </c>
      <c r="E210" s="42" t="s">
        <v>31</v>
      </c>
      <c r="F210" s="113">
        <v>3071</v>
      </c>
      <c r="G210" s="113">
        <v>126</v>
      </c>
      <c r="H210" s="113">
        <v>200</v>
      </c>
      <c r="I210" s="113">
        <v>44013</v>
      </c>
      <c r="J210" s="113">
        <v>44679</v>
      </c>
      <c r="K210" s="113">
        <v>118</v>
      </c>
      <c r="L210" s="42" t="s">
        <v>19</v>
      </c>
      <c r="M210" s="42" t="s">
        <v>337</v>
      </c>
      <c r="N210" s="42" t="s">
        <v>16</v>
      </c>
      <c r="O210" s="83">
        <v>7.7181741758116915E-2</v>
      </c>
    </row>
    <row r="211" spans="1:15" x14ac:dyDescent="0.3">
      <c r="A211" s="41" t="s">
        <v>244</v>
      </c>
      <c r="B211" s="42" t="s">
        <v>22</v>
      </c>
      <c r="C211" s="43">
        <v>45780</v>
      </c>
      <c r="D211" s="42" t="s">
        <v>23</v>
      </c>
      <c r="E211" s="42" t="s">
        <v>36</v>
      </c>
      <c r="F211" s="113">
        <v>1010</v>
      </c>
      <c r="G211" s="113">
        <v>361</v>
      </c>
      <c r="H211" s="113">
        <v>240</v>
      </c>
      <c r="I211" s="113">
        <v>47229</v>
      </c>
      <c r="J211" s="113">
        <v>72573</v>
      </c>
      <c r="K211" s="113">
        <v>275</v>
      </c>
      <c r="L211" s="42" t="s">
        <v>40</v>
      </c>
      <c r="M211" s="42" t="s">
        <v>37</v>
      </c>
      <c r="N211" s="42" t="s">
        <v>16</v>
      </c>
      <c r="O211" s="83">
        <v>3.4110398272247981E-2</v>
      </c>
    </row>
    <row r="212" spans="1:15" x14ac:dyDescent="0.3">
      <c r="A212" s="44" t="s">
        <v>245</v>
      </c>
      <c r="B212" s="45" t="s">
        <v>22</v>
      </c>
      <c r="C212" s="46">
        <v>45396</v>
      </c>
      <c r="D212" s="45" t="s">
        <v>23</v>
      </c>
      <c r="E212" s="45" t="s">
        <v>15</v>
      </c>
      <c r="F212" s="114">
        <v>1295</v>
      </c>
      <c r="G212" s="114">
        <v>153</v>
      </c>
      <c r="H212" s="114">
        <v>81</v>
      </c>
      <c r="I212" s="114">
        <v>48350</v>
      </c>
      <c r="J212" s="114">
        <v>61033</v>
      </c>
      <c r="K212" s="114">
        <v>232</v>
      </c>
      <c r="L212" s="45" t="s">
        <v>19</v>
      </c>
      <c r="M212" s="45" t="s">
        <v>337</v>
      </c>
      <c r="N212" s="45" t="s">
        <v>16</v>
      </c>
      <c r="O212" s="84">
        <v>3.1623578076525334E-2</v>
      </c>
    </row>
    <row r="213" spans="1:15" x14ac:dyDescent="0.3">
      <c r="A213" s="41" t="s">
        <v>246</v>
      </c>
      <c r="B213" s="42" t="s">
        <v>22</v>
      </c>
      <c r="C213" s="43">
        <v>45827</v>
      </c>
      <c r="D213" s="42" t="s">
        <v>23</v>
      </c>
      <c r="E213" s="42" t="s">
        <v>31</v>
      </c>
      <c r="F213" s="113">
        <v>1433</v>
      </c>
      <c r="G213" s="113">
        <v>452</v>
      </c>
      <c r="H213" s="113">
        <v>305</v>
      </c>
      <c r="I213" s="113">
        <v>54541</v>
      </c>
      <c r="J213" s="113">
        <v>63700</v>
      </c>
      <c r="K213" s="113">
        <v>296</v>
      </c>
      <c r="L213" s="42" t="s">
        <v>19</v>
      </c>
      <c r="M213" s="42" t="s">
        <v>337</v>
      </c>
      <c r="N213" s="42" t="s">
        <v>16</v>
      </c>
      <c r="O213" s="83">
        <v>4.0153279184466734E-2</v>
      </c>
    </row>
    <row r="214" spans="1:15" x14ac:dyDescent="0.3">
      <c r="A214" s="44" t="s">
        <v>247</v>
      </c>
      <c r="B214" s="45" t="s">
        <v>13</v>
      </c>
      <c r="C214" s="46">
        <v>45832</v>
      </c>
      <c r="D214" s="45" t="s">
        <v>23</v>
      </c>
      <c r="E214" s="45" t="s">
        <v>33</v>
      </c>
      <c r="F214" s="114">
        <v>4902</v>
      </c>
      <c r="G214" s="114">
        <v>422</v>
      </c>
      <c r="H214" s="114">
        <v>376</v>
      </c>
      <c r="I214" s="114">
        <v>31674</v>
      </c>
      <c r="J214" s="114">
        <v>53225</v>
      </c>
      <c r="K214" s="114">
        <v>147</v>
      </c>
      <c r="L214" s="45" t="s">
        <v>37</v>
      </c>
      <c r="M214" s="45"/>
      <c r="N214" s="45" t="s">
        <v>50</v>
      </c>
      <c r="O214" s="84">
        <v>0.17995832544042431</v>
      </c>
    </row>
    <row r="215" spans="1:15" x14ac:dyDescent="0.3">
      <c r="A215" s="44" t="s">
        <v>248</v>
      </c>
      <c r="B215" s="45" t="s">
        <v>22</v>
      </c>
      <c r="C215" s="46">
        <v>45574</v>
      </c>
      <c r="D215" s="45" t="s">
        <v>14</v>
      </c>
      <c r="E215" s="45" t="s">
        <v>26</v>
      </c>
      <c r="F215" s="114">
        <v>2659</v>
      </c>
      <c r="G215" s="114">
        <v>167</v>
      </c>
      <c r="H215" s="114">
        <v>73</v>
      </c>
      <c r="I215" s="114">
        <v>23090</v>
      </c>
      <c r="J215" s="114">
        <v>25872</v>
      </c>
      <c r="K215" s="114">
        <v>293</v>
      </c>
      <c r="L215" s="45" t="s">
        <v>40</v>
      </c>
      <c r="M215" s="45"/>
      <c r="N215" s="45" t="s">
        <v>20</v>
      </c>
      <c r="O215" s="84">
        <v>0.12555218709398008</v>
      </c>
    </row>
    <row r="216" spans="1:15" x14ac:dyDescent="0.3">
      <c r="A216" s="44" t="s">
        <v>249</v>
      </c>
      <c r="B216" s="45" t="s">
        <v>28</v>
      </c>
      <c r="C216" s="46">
        <v>45672</v>
      </c>
      <c r="D216" s="45" t="s">
        <v>14</v>
      </c>
      <c r="E216" s="45" t="s">
        <v>46</v>
      </c>
      <c r="F216" s="114">
        <v>2599</v>
      </c>
      <c r="G216" s="114">
        <v>324</v>
      </c>
      <c r="H216" s="114">
        <v>182</v>
      </c>
      <c r="I216" s="114">
        <v>37525</v>
      </c>
      <c r="J216" s="114">
        <v>37216</v>
      </c>
      <c r="K216" s="114">
        <v>186</v>
      </c>
      <c r="L216" s="45" t="s">
        <v>19</v>
      </c>
      <c r="M216" s="45" t="s">
        <v>338</v>
      </c>
      <c r="N216" s="45" t="s">
        <v>20</v>
      </c>
      <c r="O216" s="84">
        <v>8.2744836775483013E-2</v>
      </c>
    </row>
    <row r="217" spans="1:15" x14ac:dyDescent="0.3">
      <c r="A217" s="44" t="s">
        <v>250</v>
      </c>
      <c r="B217" s="45" t="s">
        <v>22</v>
      </c>
      <c r="C217" s="46">
        <v>45669</v>
      </c>
      <c r="D217" s="45" t="s">
        <v>14</v>
      </c>
      <c r="E217" s="45" t="s">
        <v>29</v>
      </c>
      <c r="F217" s="114">
        <v>1765</v>
      </c>
      <c r="G217" s="114">
        <v>285</v>
      </c>
      <c r="H217" s="114">
        <v>100</v>
      </c>
      <c r="I217" s="114">
        <v>41313</v>
      </c>
      <c r="J217" s="114">
        <v>56575</v>
      </c>
      <c r="K217" s="114">
        <v>174</v>
      </c>
      <c r="L217" s="45" t="s">
        <v>40</v>
      </c>
      <c r="M217" s="45"/>
      <c r="N217" s="45" t="s">
        <v>20</v>
      </c>
      <c r="O217" s="84">
        <v>5.2041730205988429E-2</v>
      </c>
    </row>
    <row r="218" spans="1:15" x14ac:dyDescent="0.3">
      <c r="A218" s="44" t="s">
        <v>251</v>
      </c>
      <c r="B218" s="45" t="s">
        <v>13</v>
      </c>
      <c r="C218" s="46">
        <v>45808</v>
      </c>
      <c r="D218" s="45" t="s">
        <v>14</v>
      </c>
      <c r="E218" s="45" t="s">
        <v>31</v>
      </c>
      <c r="F218" s="114">
        <v>2169</v>
      </c>
      <c r="G218" s="114">
        <v>240</v>
      </c>
      <c r="H218" s="114">
        <v>57</v>
      </c>
      <c r="I218" s="114">
        <v>26109</v>
      </c>
      <c r="J218" s="114">
        <v>46667</v>
      </c>
      <c r="K218" s="114">
        <v>133</v>
      </c>
      <c r="L218" s="45" t="s">
        <v>40</v>
      </c>
      <c r="M218" s="45" t="s">
        <v>37</v>
      </c>
      <c r="N218" s="45" t="s">
        <v>16</v>
      </c>
      <c r="O218" s="84">
        <v>9.4450189589796618E-2</v>
      </c>
    </row>
    <row r="219" spans="1:15" x14ac:dyDescent="0.3">
      <c r="A219" s="41" t="s">
        <v>252</v>
      </c>
      <c r="B219" s="42" t="s">
        <v>22</v>
      </c>
      <c r="C219" s="43">
        <v>45579</v>
      </c>
      <c r="D219" s="42" t="s">
        <v>23</v>
      </c>
      <c r="E219" s="42" t="s">
        <v>18</v>
      </c>
      <c r="F219" s="113">
        <v>4303</v>
      </c>
      <c r="G219" s="113">
        <v>306</v>
      </c>
      <c r="H219" s="113">
        <v>302</v>
      </c>
      <c r="I219" s="113">
        <v>39575</v>
      </c>
      <c r="J219" s="113">
        <v>33762</v>
      </c>
      <c r="K219" s="113">
        <v>265</v>
      </c>
      <c r="L219" s="42" t="s">
        <v>19</v>
      </c>
      <c r="M219" s="42" t="s">
        <v>337</v>
      </c>
      <c r="N219" s="42" t="s">
        <v>16</v>
      </c>
      <c r="O219" s="83">
        <v>0.12409349336702463</v>
      </c>
    </row>
    <row r="220" spans="1:15" x14ac:dyDescent="0.3">
      <c r="A220" s="44" t="s">
        <v>253</v>
      </c>
      <c r="B220" s="45" t="s">
        <v>22</v>
      </c>
      <c r="C220" s="46">
        <v>45332</v>
      </c>
      <c r="D220" s="45" t="s">
        <v>14</v>
      </c>
      <c r="E220" s="45" t="s">
        <v>44</v>
      </c>
      <c r="F220" s="114">
        <v>1519</v>
      </c>
      <c r="G220" s="114">
        <v>456</v>
      </c>
      <c r="H220" s="114">
        <v>379</v>
      </c>
      <c r="I220" s="114">
        <v>51611</v>
      </c>
      <c r="J220" s="114">
        <v>45880</v>
      </c>
      <c r="K220" s="114">
        <v>176</v>
      </c>
      <c r="L220" s="45" t="s">
        <v>40</v>
      </c>
      <c r="M220" s="45"/>
      <c r="N220" s="45" t="s">
        <v>20</v>
      </c>
      <c r="O220" s="84">
        <v>4.5610431884675749E-2</v>
      </c>
    </row>
    <row r="221" spans="1:15" x14ac:dyDescent="0.3">
      <c r="A221" s="41" t="s">
        <v>254</v>
      </c>
      <c r="B221" s="42" t="s">
        <v>28</v>
      </c>
      <c r="C221" s="43">
        <v>45636</v>
      </c>
      <c r="D221" s="42" t="s">
        <v>14</v>
      </c>
      <c r="E221" s="42" t="s">
        <v>31</v>
      </c>
      <c r="F221" s="113">
        <v>2569</v>
      </c>
      <c r="G221" s="113">
        <v>140</v>
      </c>
      <c r="H221" s="113">
        <v>375</v>
      </c>
      <c r="I221" s="113">
        <v>38372</v>
      </c>
      <c r="J221" s="113">
        <v>22102</v>
      </c>
      <c r="K221" s="113">
        <v>255</v>
      </c>
      <c r="L221" s="42" t="s">
        <v>19</v>
      </c>
      <c r="M221" s="42" t="s">
        <v>338</v>
      </c>
      <c r="N221" s="42" t="s">
        <v>20</v>
      </c>
      <c r="O221" s="83">
        <v>8.0371103929948923E-2</v>
      </c>
    </row>
    <row r="222" spans="1:15" x14ac:dyDescent="0.3">
      <c r="A222" s="41" t="s">
        <v>255</v>
      </c>
      <c r="B222" s="42" t="s">
        <v>22</v>
      </c>
      <c r="C222" s="43">
        <v>45786</v>
      </c>
      <c r="D222" s="42" t="s">
        <v>23</v>
      </c>
      <c r="E222" s="42" t="s">
        <v>29</v>
      </c>
      <c r="F222" s="113">
        <v>2778</v>
      </c>
      <c r="G222" s="113">
        <v>241</v>
      </c>
      <c r="H222" s="113">
        <v>317</v>
      </c>
      <c r="I222" s="113">
        <v>26247</v>
      </c>
      <c r="J222" s="113">
        <v>20677</v>
      </c>
      <c r="K222" s="113">
        <v>282</v>
      </c>
      <c r="L222" s="42" t="s">
        <v>337</v>
      </c>
      <c r="M222" s="42" t="s">
        <v>37</v>
      </c>
      <c r="N222" s="42" t="s">
        <v>16</v>
      </c>
      <c r="O222" s="83">
        <v>0.1271002400274317</v>
      </c>
    </row>
    <row r="223" spans="1:15" x14ac:dyDescent="0.3">
      <c r="A223" s="44" t="s">
        <v>256</v>
      </c>
      <c r="B223" s="45" t="s">
        <v>22</v>
      </c>
      <c r="C223" s="46">
        <v>45829</v>
      </c>
      <c r="D223" s="45" t="s">
        <v>14</v>
      </c>
      <c r="E223" s="45" t="s">
        <v>18</v>
      </c>
      <c r="F223" s="114">
        <v>3611</v>
      </c>
      <c r="G223" s="114">
        <v>127</v>
      </c>
      <c r="H223" s="114">
        <v>139</v>
      </c>
      <c r="I223" s="114">
        <v>44768</v>
      </c>
      <c r="J223" s="114">
        <v>29435</v>
      </c>
      <c r="K223" s="114">
        <v>178</v>
      </c>
      <c r="L223" s="45" t="s">
        <v>37</v>
      </c>
      <c r="M223" s="45"/>
      <c r="N223" s="45" t="s">
        <v>16</v>
      </c>
      <c r="O223" s="84">
        <v>8.6602037169406718E-2</v>
      </c>
    </row>
    <row r="224" spans="1:15" x14ac:dyDescent="0.3">
      <c r="A224" s="41" t="s">
        <v>257</v>
      </c>
      <c r="B224" s="42" t="s">
        <v>22</v>
      </c>
      <c r="C224" s="43">
        <v>45462</v>
      </c>
      <c r="D224" s="42" t="s">
        <v>14</v>
      </c>
      <c r="E224" s="42" t="s">
        <v>31</v>
      </c>
      <c r="F224" s="113">
        <v>1224</v>
      </c>
      <c r="G224" s="113">
        <v>168</v>
      </c>
      <c r="H224" s="113">
        <v>199</v>
      </c>
      <c r="I224" s="113">
        <v>54232</v>
      </c>
      <c r="J224" s="113">
        <v>52844</v>
      </c>
      <c r="K224" s="113">
        <v>271</v>
      </c>
      <c r="L224" s="42" t="s">
        <v>40</v>
      </c>
      <c r="M224" s="42"/>
      <c r="N224" s="42" t="s">
        <v>20</v>
      </c>
      <c r="O224" s="83">
        <v>2.9336922849977874E-2</v>
      </c>
    </row>
    <row r="225" spans="1:15" x14ac:dyDescent="0.3">
      <c r="A225" s="44" t="s">
        <v>258</v>
      </c>
      <c r="B225" s="45" t="s">
        <v>22</v>
      </c>
      <c r="C225" s="46">
        <v>45636</v>
      </c>
      <c r="D225" s="45" t="s">
        <v>14</v>
      </c>
      <c r="E225" s="45" t="s">
        <v>44</v>
      </c>
      <c r="F225" s="114">
        <v>4673</v>
      </c>
      <c r="G225" s="114">
        <v>270</v>
      </c>
      <c r="H225" s="114">
        <v>93</v>
      </c>
      <c r="I225" s="114">
        <v>45260</v>
      </c>
      <c r="J225" s="114">
        <v>57513</v>
      </c>
      <c r="K225" s="114">
        <v>103</v>
      </c>
      <c r="L225" s="45" t="s">
        <v>37</v>
      </c>
      <c r="M225" s="45"/>
      <c r="N225" s="45" t="s">
        <v>16</v>
      </c>
      <c r="O225" s="84">
        <v>0.11126822801590809</v>
      </c>
    </row>
    <row r="226" spans="1:15" x14ac:dyDescent="0.3">
      <c r="A226" s="44" t="s">
        <v>259</v>
      </c>
      <c r="B226" s="45" t="s">
        <v>28</v>
      </c>
      <c r="C226" s="46">
        <v>45323</v>
      </c>
      <c r="D226" s="45" t="s">
        <v>14</v>
      </c>
      <c r="E226" s="45" t="s">
        <v>26</v>
      </c>
      <c r="F226" s="114">
        <v>1432</v>
      </c>
      <c r="G226" s="114">
        <v>437</v>
      </c>
      <c r="H226" s="114">
        <v>267</v>
      </c>
      <c r="I226" s="114">
        <v>40634</v>
      </c>
      <c r="J226" s="114">
        <v>54511</v>
      </c>
      <c r="K226" s="114">
        <v>197</v>
      </c>
      <c r="L226" s="45" t="s">
        <v>19</v>
      </c>
      <c r="M226" s="45" t="s">
        <v>338</v>
      </c>
      <c r="N226" s="45" t="s">
        <v>20</v>
      </c>
      <c r="O226" s="84">
        <v>5.2566815966924252E-2</v>
      </c>
    </row>
    <row r="227" spans="1:15" x14ac:dyDescent="0.3">
      <c r="A227" s="41" t="s">
        <v>260</v>
      </c>
      <c r="B227" s="42" t="s">
        <v>22</v>
      </c>
      <c r="C227" s="43">
        <v>45308</v>
      </c>
      <c r="D227" s="42" t="s">
        <v>23</v>
      </c>
      <c r="E227" s="42" t="s">
        <v>24</v>
      </c>
      <c r="F227" s="113">
        <v>2174</v>
      </c>
      <c r="G227" s="113">
        <v>499</v>
      </c>
      <c r="H227" s="113">
        <v>212</v>
      </c>
      <c r="I227" s="113">
        <v>54938</v>
      </c>
      <c r="J227" s="113">
        <v>27190</v>
      </c>
      <c r="K227" s="113">
        <v>265</v>
      </c>
      <c r="L227" s="42" t="s">
        <v>337</v>
      </c>
      <c r="M227" s="42" t="s">
        <v>37</v>
      </c>
      <c r="N227" s="42" t="s">
        <v>16</v>
      </c>
      <c r="O227" s="83">
        <v>5.2513742764570971E-2</v>
      </c>
    </row>
    <row r="228" spans="1:15" x14ac:dyDescent="0.3">
      <c r="A228" s="44" t="s">
        <v>261</v>
      </c>
      <c r="B228" s="45" t="s">
        <v>28</v>
      </c>
      <c r="C228" s="46">
        <v>45738</v>
      </c>
      <c r="D228" s="45" t="s">
        <v>14</v>
      </c>
      <c r="E228" s="45" t="s">
        <v>29</v>
      </c>
      <c r="F228" s="114">
        <v>4308</v>
      </c>
      <c r="G228" s="114">
        <v>171</v>
      </c>
      <c r="H228" s="114">
        <v>106</v>
      </c>
      <c r="I228" s="114">
        <v>36955</v>
      </c>
      <c r="J228" s="114">
        <v>23949</v>
      </c>
      <c r="K228" s="114">
        <v>294</v>
      </c>
      <c r="L228" s="45" t="s">
        <v>19</v>
      </c>
      <c r="M228" s="45" t="s">
        <v>338</v>
      </c>
      <c r="N228" s="45" t="s">
        <v>20</v>
      </c>
      <c r="O228" s="84">
        <v>0.12406981463942633</v>
      </c>
    </row>
    <row r="229" spans="1:15" x14ac:dyDescent="0.3">
      <c r="A229" s="41" t="s">
        <v>262</v>
      </c>
      <c r="B229" s="42" t="s">
        <v>28</v>
      </c>
      <c r="C229" s="43">
        <v>45442</v>
      </c>
      <c r="D229" s="42" t="s">
        <v>52</v>
      </c>
      <c r="E229" s="42" t="s">
        <v>31</v>
      </c>
      <c r="F229" s="113">
        <v>1060</v>
      </c>
      <c r="G229" s="113">
        <v>442</v>
      </c>
      <c r="H229" s="113">
        <v>319</v>
      </c>
      <c r="I229" s="113">
        <v>57194</v>
      </c>
      <c r="J229" s="113">
        <v>24258</v>
      </c>
      <c r="K229" s="113">
        <v>101</v>
      </c>
      <c r="L229" s="42" t="s">
        <v>19</v>
      </c>
      <c r="M229" s="42" t="s">
        <v>40</v>
      </c>
      <c r="N229" s="42" t="s">
        <v>53</v>
      </c>
      <c r="O229" s="83">
        <v>3.1839004091338254E-2</v>
      </c>
    </row>
    <row r="230" spans="1:15" x14ac:dyDescent="0.3">
      <c r="A230" s="44" t="s">
        <v>263</v>
      </c>
      <c r="B230" s="45" t="s">
        <v>28</v>
      </c>
      <c r="C230" s="46">
        <v>45346</v>
      </c>
      <c r="D230" s="45" t="s">
        <v>14</v>
      </c>
      <c r="E230" s="45" t="s">
        <v>29</v>
      </c>
      <c r="F230" s="114">
        <v>4653</v>
      </c>
      <c r="G230" s="114">
        <v>226</v>
      </c>
      <c r="H230" s="114">
        <v>349</v>
      </c>
      <c r="I230" s="114">
        <v>56876</v>
      </c>
      <c r="J230" s="114">
        <v>28452</v>
      </c>
      <c r="K230" s="114">
        <v>257</v>
      </c>
      <c r="L230" s="45" t="s">
        <v>19</v>
      </c>
      <c r="M230" s="45" t="s">
        <v>338</v>
      </c>
      <c r="N230" s="45" t="s">
        <v>20</v>
      </c>
      <c r="O230" s="84">
        <v>9.191926295801392E-2</v>
      </c>
    </row>
    <row r="231" spans="1:15" x14ac:dyDescent="0.3">
      <c r="A231" s="41" t="s">
        <v>264</v>
      </c>
      <c r="B231" s="42" t="s">
        <v>28</v>
      </c>
      <c r="C231" s="43">
        <v>45791</v>
      </c>
      <c r="D231" s="42" t="s">
        <v>14</v>
      </c>
      <c r="E231" s="42" t="s">
        <v>15</v>
      </c>
      <c r="F231" s="113">
        <v>1701</v>
      </c>
      <c r="G231" s="113">
        <v>272</v>
      </c>
      <c r="H231" s="113">
        <v>385</v>
      </c>
      <c r="I231" s="113">
        <v>47496</v>
      </c>
      <c r="J231" s="113">
        <v>40832</v>
      </c>
      <c r="K231" s="113">
        <v>246</v>
      </c>
      <c r="L231" s="42" t="s">
        <v>19</v>
      </c>
      <c r="M231" s="42" t="s">
        <v>338</v>
      </c>
      <c r="N231" s="42" t="s">
        <v>20</v>
      </c>
      <c r="O231" s="83">
        <v>4.9646286003031836E-2</v>
      </c>
    </row>
    <row r="232" spans="1:15" x14ac:dyDescent="0.3">
      <c r="A232" s="41" t="s">
        <v>265</v>
      </c>
      <c r="B232" s="42" t="s">
        <v>13</v>
      </c>
      <c r="C232" s="43">
        <v>45379</v>
      </c>
      <c r="D232" s="42" t="s">
        <v>14</v>
      </c>
      <c r="E232" s="42" t="s">
        <v>31</v>
      </c>
      <c r="F232" s="113">
        <v>1673</v>
      </c>
      <c r="G232" s="113">
        <v>280</v>
      </c>
      <c r="H232" s="113">
        <v>67</v>
      </c>
      <c r="I232" s="113">
        <v>29847</v>
      </c>
      <c r="J232" s="113">
        <v>48016</v>
      </c>
      <c r="K232" s="113">
        <v>213</v>
      </c>
      <c r="L232" s="42" t="s">
        <v>40</v>
      </c>
      <c r="M232" s="42" t="s">
        <v>37</v>
      </c>
      <c r="N232" s="42" t="s">
        <v>16</v>
      </c>
      <c r="O232" s="83">
        <v>6.76784936509532E-2</v>
      </c>
    </row>
    <row r="233" spans="1:15" x14ac:dyDescent="0.3">
      <c r="A233" s="44" t="s">
        <v>266</v>
      </c>
      <c r="B233" s="45" t="s">
        <v>28</v>
      </c>
      <c r="C233" s="46">
        <v>45723</v>
      </c>
      <c r="D233" s="45" t="s">
        <v>14</v>
      </c>
      <c r="E233" s="45" t="s">
        <v>36</v>
      </c>
      <c r="F233" s="114">
        <v>4310</v>
      </c>
      <c r="G233" s="114">
        <v>284</v>
      </c>
      <c r="H233" s="114">
        <v>306</v>
      </c>
      <c r="I233" s="114">
        <v>44606</v>
      </c>
      <c r="J233" s="114">
        <v>42604</v>
      </c>
      <c r="K233" s="114">
        <v>290</v>
      </c>
      <c r="L233" s="45" t="s">
        <v>19</v>
      </c>
      <c r="M233" s="45" t="s">
        <v>338</v>
      </c>
      <c r="N233" s="45" t="s">
        <v>20</v>
      </c>
      <c r="O233" s="84">
        <v>0.10985069273191947</v>
      </c>
    </row>
    <row r="234" spans="1:15" x14ac:dyDescent="0.3">
      <c r="A234" s="41" t="s">
        <v>267</v>
      </c>
      <c r="B234" s="42" t="s">
        <v>22</v>
      </c>
      <c r="C234" s="43">
        <v>45585</v>
      </c>
      <c r="D234" s="42" t="s">
        <v>14</v>
      </c>
      <c r="E234" s="42" t="s">
        <v>44</v>
      </c>
      <c r="F234" s="113">
        <v>2752</v>
      </c>
      <c r="G234" s="113">
        <v>309</v>
      </c>
      <c r="H234" s="113">
        <v>91</v>
      </c>
      <c r="I234" s="113">
        <v>39038</v>
      </c>
      <c r="J234" s="113">
        <v>28095</v>
      </c>
      <c r="K234" s="113">
        <v>277</v>
      </c>
      <c r="L234" s="42" t="s">
        <v>37</v>
      </c>
      <c r="M234" s="42"/>
      <c r="N234" s="42" t="s">
        <v>16</v>
      </c>
      <c r="O234" s="83">
        <v>8.0741841282852611E-2</v>
      </c>
    </row>
    <row r="235" spans="1:15" x14ac:dyDescent="0.3">
      <c r="A235" s="44" t="s">
        <v>268</v>
      </c>
      <c r="B235" s="45" t="s">
        <v>22</v>
      </c>
      <c r="C235" s="46">
        <v>45324</v>
      </c>
      <c r="D235" s="45" t="s">
        <v>14</v>
      </c>
      <c r="E235" s="45" t="s">
        <v>44</v>
      </c>
      <c r="F235" s="114">
        <v>3818</v>
      </c>
      <c r="G235" s="114">
        <v>115</v>
      </c>
      <c r="H235" s="114">
        <v>286</v>
      </c>
      <c r="I235" s="114">
        <v>25127</v>
      </c>
      <c r="J235" s="114">
        <v>22277</v>
      </c>
      <c r="K235" s="114">
        <v>263</v>
      </c>
      <c r="L235" s="45" t="s">
        <v>37</v>
      </c>
      <c r="M235" s="45"/>
      <c r="N235" s="45" t="s">
        <v>16</v>
      </c>
      <c r="O235" s="84">
        <v>0.16790703227603773</v>
      </c>
    </row>
    <row r="236" spans="1:15" x14ac:dyDescent="0.3">
      <c r="A236" s="44" t="s">
        <v>269</v>
      </c>
      <c r="B236" s="45" t="s">
        <v>28</v>
      </c>
      <c r="C236" s="46">
        <v>45542</v>
      </c>
      <c r="D236" s="45" t="s">
        <v>14</v>
      </c>
      <c r="E236" s="45" t="s">
        <v>46</v>
      </c>
      <c r="F236" s="114">
        <v>2101</v>
      </c>
      <c r="G236" s="114">
        <v>411</v>
      </c>
      <c r="H236" s="114">
        <v>190</v>
      </c>
      <c r="I236" s="114">
        <v>41791</v>
      </c>
      <c r="J236" s="114">
        <v>57090</v>
      </c>
      <c r="K236" s="114">
        <v>172</v>
      </c>
      <c r="L236" s="45" t="s">
        <v>19</v>
      </c>
      <c r="M236" s="45" t="s">
        <v>338</v>
      </c>
      <c r="N236" s="45" t="s">
        <v>20</v>
      </c>
      <c r="O236" s="84">
        <v>6.4655069273288512E-2</v>
      </c>
    </row>
    <row r="237" spans="1:15" x14ac:dyDescent="0.3">
      <c r="A237" s="44" t="s">
        <v>270</v>
      </c>
      <c r="B237" s="45" t="s">
        <v>13</v>
      </c>
      <c r="C237" s="46">
        <v>45646</v>
      </c>
      <c r="D237" s="45" t="s">
        <v>14</v>
      </c>
      <c r="E237" s="45" t="s">
        <v>15</v>
      </c>
      <c r="F237" s="114">
        <v>2519</v>
      </c>
      <c r="G237" s="114">
        <v>202</v>
      </c>
      <c r="H237" s="114">
        <v>239</v>
      </c>
      <c r="I237" s="114">
        <v>36245</v>
      </c>
      <c r="J237" s="114">
        <v>48606</v>
      </c>
      <c r="K237" s="114">
        <v>145</v>
      </c>
      <c r="L237" s="45" t="s">
        <v>19</v>
      </c>
      <c r="M237" s="45"/>
      <c r="N237" s="45" t="s">
        <v>20</v>
      </c>
      <c r="O237" s="84">
        <v>8.1666436749896543E-2</v>
      </c>
    </row>
    <row r="238" spans="1:15" x14ac:dyDescent="0.3">
      <c r="A238" s="41" t="s">
        <v>271</v>
      </c>
      <c r="B238" s="42" t="s">
        <v>28</v>
      </c>
      <c r="C238" s="43">
        <v>45305</v>
      </c>
      <c r="D238" s="42" t="s">
        <v>14</v>
      </c>
      <c r="E238" s="42" t="s">
        <v>31</v>
      </c>
      <c r="F238" s="113">
        <v>4502</v>
      </c>
      <c r="G238" s="113">
        <v>238</v>
      </c>
      <c r="H238" s="113">
        <v>386</v>
      </c>
      <c r="I238" s="113">
        <v>39198</v>
      </c>
      <c r="J238" s="113">
        <v>25050</v>
      </c>
      <c r="K238" s="113">
        <v>297</v>
      </c>
      <c r="L238" s="42" t="s">
        <v>19</v>
      </c>
      <c r="M238" s="42" t="s">
        <v>338</v>
      </c>
      <c r="N238" s="42" t="s">
        <v>20</v>
      </c>
      <c r="O238" s="83">
        <v>0.13077197816215114</v>
      </c>
    </row>
    <row r="239" spans="1:15" x14ac:dyDescent="0.3">
      <c r="A239" s="44" t="s">
        <v>272</v>
      </c>
      <c r="B239" s="45" t="s">
        <v>13</v>
      </c>
      <c r="C239" s="46">
        <v>45823</v>
      </c>
      <c r="D239" s="45" t="s">
        <v>14</v>
      </c>
      <c r="E239" s="45" t="s">
        <v>18</v>
      </c>
      <c r="F239" s="114">
        <v>2478</v>
      </c>
      <c r="G239" s="114">
        <v>427</v>
      </c>
      <c r="H239" s="114">
        <v>242</v>
      </c>
      <c r="I239" s="114">
        <v>59272</v>
      </c>
      <c r="J239" s="114">
        <v>37833</v>
      </c>
      <c r="K239" s="114">
        <v>214</v>
      </c>
      <c r="L239" s="45" t="s">
        <v>40</v>
      </c>
      <c r="M239" s="45" t="s">
        <v>37</v>
      </c>
      <c r="N239" s="45" t="s">
        <v>16</v>
      </c>
      <c r="O239" s="84">
        <v>5.3094209744904843E-2</v>
      </c>
    </row>
    <row r="240" spans="1:15" x14ac:dyDescent="0.3">
      <c r="A240" s="41" t="s">
        <v>273</v>
      </c>
      <c r="B240" s="42" t="s">
        <v>22</v>
      </c>
      <c r="C240" s="43">
        <v>45639</v>
      </c>
      <c r="D240" s="42" t="s">
        <v>23</v>
      </c>
      <c r="E240" s="42" t="s">
        <v>24</v>
      </c>
      <c r="F240" s="113">
        <v>4984</v>
      </c>
      <c r="G240" s="113">
        <v>300</v>
      </c>
      <c r="H240" s="113">
        <v>338</v>
      </c>
      <c r="I240" s="113">
        <v>32900</v>
      </c>
      <c r="J240" s="113">
        <v>31691</v>
      </c>
      <c r="K240" s="113">
        <v>160</v>
      </c>
      <c r="L240" s="42" t="s">
        <v>337</v>
      </c>
      <c r="M240" s="42" t="s">
        <v>37</v>
      </c>
      <c r="N240" s="42" t="s">
        <v>16</v>
      </c>
      <c r="O240" s="83">
        <v>0.17088145896656534</v>
      </c>
    </row>
    <row r="241" spans="1:15" x14ac:dyDescent="0.3">
      <c r="A241" s="41" t="s">
        <v>274</v>
      </c>
      <c r="B241" s="42" t="s">
        <v>28</v>
      </c>
      <c r="C241" s="43">
        <v>45533</v>
      </c>
      <c r="D241" s="42" t="s">
        <v>14</v>
      </c>
      <c r="E241" s="42" t="s">
        <v>26</v>
      </c>
      <c r="F241" s="113">
        <v>4774</v>
      </c>
      <c r="G241" s="113">
        <v>389</v>
      </c>
      <c r="H241" s="113">
        <v>358</v>
      </c>
      <c r="I241" s="113">
        <v>52346</v>
      </c>
      <c r="J241" s="113">
        <v>30518</v>
      </c>
      <c r="K241" s="113">
        <v>277</v>
      </c>
      <c r="L241" s="42" t="s">
        <v>19</v>
      </c>
      <c r="M241" s="42" t="s">
        <v>338</v>
      </c>
      <c r="N241" s="42" t="s">
        <v>20</v>
      </c>
      <c r="O241" s="83">
        <v>0.10547128720437092</v>
      </c>
    </row>
    <row r="242" spans="1:15" x14ac:dyDescent="0.3">
      <c r="A242" s="44" t="s">
        <v>275</v>
      </c>
      <c r="B242" s="45" t="s">
        <v>22</v>
      </c>
      <c r="C242" s="46">
        <v>45550</v>
      </c>
      <c r="D242" s="45" t="s">
        <v>14</v>
      </c>
      <c r="E242" s="45" t="s">
        <v>33</v>
      </c>
      <c r="F242" s="114">
        <v>2145</v>
      </c>
      <c r="G242" s="114">
        <v>340</v>
      </c>
      <c r="H242" s="114">
        <v>85</v>
      </c>
      <c r="I242" s="114">
        <v>53323</v>
      </c>
      <c r="J242" s="114">
        <v>49938</v>
      </c>
      <c r="K242" s="114">
        <v>104</v>
      </c>
      <c r="L242" s="45" t="s">
        <v>37</v>
      </c>
      <c r="M242" s="45"/>
      <c r="N242" s="45" t="s">
        <v>16</v>
      </c>
      <c r="O242" s="84">
        <v>4.819683813738912E-2</v>
      </c>
    </row>
    <row r="243" spans="1:15" x14ac:dyDescent="0.3">
      <c r="A243" s="44" t="s">
        <v>276</v>
      </c>
      <c r="B243" s="45" t="s">
        <v>22</v>
      </c>
      <c r="C243" s="46">
        <v>45759</v>
      </c>
      <c r="D243" s="45" t="s">
        <v>23</v>
      </c>
      <c r="E243" s="45" t="s">
        <v>44</v>
      </c>
      <c r="F243" s="114">
        <v>4315</v>
      </c>
      <c r="G243" s="114">
        <v>208</v>
      </c>
      <c r="H243" s="114">
        <v>273</v>
      </c>
      <c r="I243" s="114">
        <v>35780</v>
      </c>
      <c r="J243" s="114">
        <v>44349</v>
      </c>
      <c r="K243" s="114">
        <v>133</v>
      </c>
      <c r="L243" s="45" t="s">
        <v>19</v>
      </c>
      <c r="M243" s="45" t="s">
        <v>337</v>
      </c>
      <c r="N243" s="45" t="s">
        <v>16</v>
      </c>
      <c r="O243" s="84">
        <v>0.13404136389044158</v>
      </c>
    </row>
    <row r="244" spans="1:15" x14ac:dyDescent="0.3">
      <c r="A244" s="44" t="s">
        <v>277</v>
      </c>
      <c r="B244" s="45" t="s">
        <v>22</v>
      </c>
      <c r="C244" s="46">
        <v>45636</v>
      </c>
      <c r="D244" s="45" t="s">
        <v>23</v>
      </c>
      <c r="E244" s="45" t="s">
        <v>26</v>
      </c>
      <c r="F244" s="114">
        <v>2267</v>
      </c>
      <c r="G244" s="114">
        <v>230</v>
      </c>
      <c r="H244" s="114">
        <v>243</v>
      </c>
      <c r="I244" s="114">
        <v>27904</v>
      </c>
      <c r="J244" s="114">
        <v>69771</v>
      </c>
      <c r="K244" s="114">
        <v>255</v>
      </c>
      <c r="L244" s="45" t="s">
        <v>19</v>
      </c>
      <c r="M244" s="45" t="s">
        <v>337</v>
      </c>
      <c r="N244" s="45" t="s">
        <v>16</v>
      </c>
      <c r="O244" s="84">
        <v>9.8193807339449546E-2</v>
      </c>
    </row>
    <row r="245" spans="1:15" x14ac:dyDescent="0.3">
      <c r="A245" s="44" t="s">
        <v>278</v>
      </c>
      <c r="B245" s="45" t="s">
        <v>28</v>
      </c>
      <c r="C245" s="46">
        <v>45816</v>
      </c>
      <c r="D245" s="45" t="s">
        <v>14</v>
      </c>
      <c r="E245" s="45" t="s">
        <v>29</v>
      </c>
      <c r="F245" s="114">
        <v>4375</v>
      </c>
      <c r="G245" s="114">
        <v>303</v>
      </c>
      <c r="H245" s="114">
        <v>294</v>
      </c>
      <c r="I245" s="114">
        <v>57468</v>
      </c>
      <c r="J245" s="114">
        <v>53397</v>
      </c>
      <c r="K245" s="114">
        <v>159</v>
      </c>
      <c r="L245" s="45" t="s">
        <v>19</v>
      </c>
      <c r="M245" s="45" t="s">
        <v>338</v>
      </c>
      <c r="N245" s="45" t="s">
        <v>20</v>
      </c>
      <c r="O245" s="84">
        <v>8.6517714206166912E-2</v>
      </c>
    </row>
    <row r="246" spans="1:15" x14ac:dyDescent="0.3">
      <c r="A246" s="44" t="s">
        <v>279</v>
      </c>
      <c r="B246" s="45" t="s">
        <v>22</v>
      </c>
      <c r="C246" s="46">
        <v>45666</v>
      </c>
      <c r="D246" s="45" t="s">
        <v>23</v>
      </c>
      <c r="E246" s="45" t="s">
        <v>46</v>
      </c>
      <c r="F246" s="114">
        <v>3817</v>
      </c>
      <c r="G246" s="114">
        <v>284</v>
      </c>
      <c r="H246" s="114">
        <v>204</v>
      </c>
      <c r="I246" s="114">
        <v>46434</v>
      </c>
      <c r="J246" s="114">
        <v>53396</v>
      </c>
      <c r="K246" s="114">
        <v>104</v>
      </c>
      <c r="L246" s="45" t="s">
        <v>337</v>
      </c>
      <c r="M246" s="45" t="s">
        <v>37</v>
      </c>
      <c r="N246" s="45" t="s">
        <v>16</v>
      </c>
      <c r="O246" s="84">
        <v>9.2712236723090841E-2</v>
      </c>
    </row>
    <row r="247" spans="1:15" x14ac:dyDescent="0.3">
      <c r="A247" s="44" t="s">
        <v>280</v>
      </c>
      <c r="B247" s="45" t="s">
        <v>22</v>
      </c>
      <c r="C247" s="46">
        <v>45481</v>
      </c>
      <c r="D247" s="45" t="s">
        <v>23</v>
      </c>
      <c r="E247" s="45" t="s">
        <v>36</v>
      </c>
      <c r="F247" s="114">
        <v>2981</v>
      </c>
      <c r="G247" s="114">
        <v>258</v>
      </c>
      <c r="H247" s="114">
        <v>168</v>
      </c>
      <c r="I247" s="114">
        <v>20677</v>
      </c>
      <c r="J247" s="114">
        <v>68290</v>
      </c>
      <c r="K247" s="114">
        <v>130</v>
      </c>
      <c r="L247" s="45" t="s">
        <v>40</v>
      </c>
      <c r="M247" s="45" t="s">
        <v>37</v>
      </c>
      <c r="N247" s="45" t="s">
        <v>16</v>
      </c>
      <c r="O247" s="84">
        <v>0.16477245248343569</v>
      </c>
    </row>
    <row r="248" spans="1:15" x14ac:dyDescent="0.3">
      <c r="A248" s="41" t="s">
        <v>281</v>
      </c>
      <c r="B248" s="42" t="s">
        <v>22</v>
      </c>
      <c r="C248" s="43">
        <v>45551</v>
      </c>
      <c r="D248" s="42" t="s">
        <v>23</v>
      </c>
      <c r="E248" s="42" t="s">
        <v>46</v>
      </c>
      <c r="F248" s="113">
        <v>3300</v>
      </c>
      <c r="G248" s="113">
        <v>354</v>
      </c>
      <c r="H248" s="113">
        <v>397</v>
      </c>
      <c r="I248" s="113">
        <v>56773</v>
      </c>
      <c r="J248" s="113">
        <v>72110</v>
      </c>
      <c r="K248" s="113">
        <v>163</v>
      </c>
      <c r="L248" s="42" t="s">
        <v>19</v>
      </c>
      <c r="M248" s="42" t="s">
        <v>337</v>
      </c>
      <c r="N248" s="42" t="s">
        <v>16</v>
      </c>
      <c r="O248" s="83">
        <v>7.1354340971940891E-2</v>
      </c>
    </row>
    <row r="249" spans="1:15" x14ac:dyDescent="0.3">
      <c r="A249" s="44" t="s">
        <v>282</v>
      </c>
      <c r="B249" s="45" t="s">
        <v>28</v>
      </c>
      <c r="C249" s="46">
        <v>45457</v>
      </c>
      <c r="D249" s="45" t="s">
        <v>52</v>
      </c>
      <c r="E249" s="45" t="s">
        <v>26</v>
      </c>
      <c r="F249" s="114">
        <v>4722</v>
      </c>
      <c r="G249" s="114">
        <v>310</v>
      </c>
      <c r="H249" s="114">
        <v>344</v>
      </c>
      <c r="I249" s="114">
        <v>27911</v>
      </c>
      <c r="J249" s="114">
        <v>19000</v>
      </c>
      <c r="K249" s="114">
        <v>225</v>
      </c>
      <c r="L249" s="45" t="s">
        <v>19</v>
      </c>
      <c r="M249" s="45" t="s">
        <v>40</v>
      </c>
      <c r="N249" s="45" t="s">
        <v>53</v>
      </c>
      <c r="O249" s="84">
        <v>0.19261223173659131</v>
      </c>
    </row>
    <row r="250" spans="1:15" x14ac:dyDescent="0.3">
      <c r="A250" s="41" t="s">
        <v>283</v>
      </c>
      <c r="B250" s="42" t="s">
        <v>13</v>
      </c>
      <c r="C250" s="43">
        <v>45357</v>
      </c>
      <c r="D250" s="42" t="s">
        <v>14</v>
      </c>
      <c r="E250" s="42" t="s">
        <v>31</v>
      </c>
      <c r="F250" s="113">
        <v>3529</v>
      </c>
      <c r="G250" s="113">
        <v>263</v>
      </c>
      <c r="H250" s="113">
        <v>107</v>
      </c>
      <c r="I250" s="113">
        <v>26570</v>
      </c>
      <c r="J250" s="113">
        <v>19367</v>
      </c>
      <c r="K250" s="113">
        <v>96</v>
      </c>
      <c r="L250" s="42" t="s">
        <v>19</v>
      </c>
      <c r="M250" s="42"/>
      <c r="N250" s="42" t="s">
        <v>20</v>
      </c>
      <c r="O250" s="83">
        <v>0.14674444862627023</v>
      </c>
    </row>
    <row r="251" spans="1:15" x14ac:dyDescent="0.3">
      <c r="A251" s="41" t="s">
        <v>284</v>
      </c>
      <c r="B251" s="42" t="s">
        <v>22</v>
      </c>
      <c r="C251" s="43">
        <v>45792</v>
      </c>
      <c r="D251" s="42" t="s">
        <v>14</v>
      </c>
      <c r="E251" s="42" t="s">
        <v>46</v>
      </c>
      <c r="F251" s="113">
        <v>4782</v>
      </c>
      <c r="G251" s="113">
        <v>210</v>
      </c>
      <c r="H251" s="113">
        <v>311</v>
      </c>
      <c r="I251" s="113">
        <v>29793</v>
      </c>
      <c r="J251" s="113">
        <v>37543</v>
      </c>
      <c r="K251" s="113">
        <v>145</v>
      </c>
      <c r="L251" s="42" t="s">
        <v>37</v>
      </c>
      <c r="M251" s="42"/>
      <c r="N251" s="42" t="s">
        <v>16</v>
      </c>
      <c r="O251" s="83">
        <v>0.17799483100057059</v>
      </c>
    </row>
    <row r="252" spans="1:15" x14ac:dyDescent="0.3">
      <c r="A252" s="41" t="s">
        <v>285</v>
      </c>
      <c r="B252" s="42" t="s">
        <v>22</v>
      </c>
      <c r="C252" s="43">
        <v>45480</v>
      </c>
      <c r="D252" s="42" t="s">
        <v>14</v>
      </c>
      <c r="E252" s="42" t="s">
        <v>31</v>
      </c>
      <c r="F252" s="113">
        <v>1848</v>
      </c>
      <c r="G252" s="113">
        <v>417</v>
      </c>
      <c r="H252" s="113">
        <v>294</v>
      </c>
      <c r="I252" s="113">
        <v>57819</v>
      </c>
      <c r="J252" s="113">
        <v>19798</v>
      </c>
      <c r="K252" s="113">
        <v>262</v>
      </c>
      <c r="L252" s="42" t="s">
        <v>40</v>
      </c>
      <c r="M252" s="42"/>
      <c r="N252" s="42" t="s">
        <v>20</v>
      </c>
      <c r="O252" s="83">
        <v>4.4258807658382193E-2</v>
      </c>
    </row>
    <row r="253" spans="1:15" x14ac:dyDescent="0.3">
      <c r="A253" s="44" t="s">
        <v>286</v>
      </c>
      <c r="B253" s="45" t="s">
        <v>28</v>
      </c>
      <c r="C253" s="46">
        <v>45591</v>
      </c>
      <c r="D253" s="45" t="s">
        <v>14</v>
      </c>
      <c r="E253" s="45" t="s">
        <v>24</v>
      </c>
      <c r="F253" s="114">
        <v>4676</v>
      </c>
      <c r="G253" s="114">
        <v>211</v>
      </c>
      <c r="H253" s="114">
        <v>55</v>
      </c>
      <c r="I253" s="114">
        <v>45917</v>
      </c>
      <c r="J253" s="114">
        <v>73503</v>
      </c>
      <c r="K253" s="114">
        <v>248</v>
      </c>
      <c r="L253" s="45" t="s">
        <v>19</v>
      </c>
      <c r="M253" s="45" t="s">
        <v>338</v>
      </c>
      <c r="N253" s="45" t="s">
        <v>20</v>
      </c>
      <c r="O253" s="84">
        <v>0.10762898272970794</v>
      </c>
    </row>
    <row r="254" spans="1:15" x14ac:dyDescent="0.3">
      <c r="A254" s="44" t="s">
        <v>287</v>
      </c>
      <c r="B254" s="45" t="s">
        <v>28</v>
      </c>
      <c r="C254" s="46">
        <v>45512</v>
      </c>
      <c r="D254" s="45" t="s">
        <v>14</v>
      </c>
      <c r="E254" s="45" t="s">
        <v>44</v>
      </c>
      <c r="F254" s="114">
        <v>1994</v>
      </c>
      <c r="G254" s="114">
        <v>197</v>
      </c>
      <c r="H254" s="114">
        <v>290</v>
      </c>
      <c r="I254" s="114">
        <v>49500</v>
      </c>
      <c r="J254" s="114">
        <v>23343</v>
      </c>
      <c r="K254" s="114">
        <v>160</v>
      </c>
      <c r="L254" s="45" t="s">
        <v>19</v>
      </c>
      <c r="M254" s="45" t="s">
        <v>338</v>
      </c>
      <c r="N254" s="45" t="s">
        <v>20</v>
      </c>
      <c r="O254" s="84">
        <v>5.0121212121212122E-2</v>
      </c>
    </row>
    <row r="255" spans="1:15" x14ac:dyDescent="0.3">
      <c r="A255" s="44" t="s">
        <v>288</v>
      </c>
      <c r="B255" s="45" t="s">
        <v>22</v>
      </c>
      <c r="C255" s="46">
        <v>45691</v>
      </c>
      <c r="D255" s="45" t="s">
        <v>14</v>
      </c>
      <c r="E255" s="45" t="s">
        <v>31</v>
      </c>
      <c r="F255" s="114">
        <v>4995</v>
      </c>
      <c r="G255" s="114">
        <v>231</v>
      </c>
      <c r="H255" s="114">
        <v>94</v>
      </c>
      <c r="I255" s="114">
        <v>34431</v>
      </c>
      <c r="J255" s="114">
        <v>32560</v>
      </c>
      <c r="K255" s="114">
        <v>262</v>
      </c>
      <c r="L255" s="45" t="s">
        <v>37</v>
      </c>
      <c r="M255" s="45"/>
      <c r="N255" s="45" t="s">
        <v>16</v>
      </c>
      <c r="O255" s="84">
        <v>0.15451192239551567</v>
      </c>
    </row>
    <row r="256" spans="1:15" x14ac:dyDescent="0.3">
      <c r="A256" s="44" t="s">
        <v>289</v>
      </c>
      <c r="B256" s="45" t="s">
        <v>22</v>
      </c>
      <c r="C256" s="46">
        <v>45385</v>
      </c>
      <c r="D256" s="45" t="s">
        <v>23</v>
      </c>
      <c r="E256" s="45" t="s">
        <v>36</v>
      </c>
      <c r="F256" s="114">
        <v>2291</v>
      </c>
      <c r="G256" s="114">
        <v>146</v>
      </c>
      <c r="H256" s="114">
        <v>399</v>
      </c>
      <c r="I256" s="114">
        <v>49319</v>
      </c>
      <c r="J256" s="114">
        <v>28056</v>
      </c>
      <c r="K256" s="114">
        <v>90</v>
      </c>
      <c r="L256" s="45" t="s">
        <v>19</v>
      </c>
      <c r="M256" s="45" t="s">
        <v>337</v>
      </c>
      <c r="N256" s="45" t="s">
        <v>16</v>
      </c>
      <c r="O256" s="84">
        <v>5.7503193495407452E-2</v>
      </c>
    </row>
    <row r="257" spans="1:15" x14ac:dyDescent="0.3">
      <c r="A257" s="44" t="s">
        <v>290</v>
      </c>
      <c r="B257" s="45" t="s">
        <v>22</v>
      </c>
      <c r="C257" s="46">
        <v>45481</v>
      </c>
      <c r="D257" s="45" t="s">
        <v>23</v>
      </c>
      <c r="E257" s="45" t="s">
        <v>26</v>
      </c>
      <c r="F257" s="114">
        <v>2304</v>
      </c>
      <c r="G257" s="114">
        <v>289</v>
      </c>
      <c r="H257" s="114">
        <v>161</v>
      </c>
      <c r="I257" s="114">
        <v>52645</v>
      </c>
      <c r="J257" s="114">
        <v>66262</v>
      </c>
      <c r="K257" s="114">
        <v>146</v>
      </c>
      <c r="L257" s="45" t="s">
        <v>337</v>
      </c>
      <c r="M257" s="45" t="s">
        <v>37</v>
      </c>
      <c r="N257" s="45" t="s">
        <v>16</v>
      </c>
      <c r="O257" s="84">
        <v>5.2312660271630736E-2</v>
      </c>
    </row>
    <row r="258" spans="1:15" x14ac:dyDescent="0.3">
      <c r="A258" s="41" t="s">
        <v>291</v>
      </c>
      <c r="B258" s="42" t="s">
        <v>22</v>
      </c>
      <c r="C258" s="43">
        <v>45451</v>
      </c>
      <c r="D258" s="42" t="s">
        <v>23</v>
      </c>
      <c r="E258" s="42" t="s">
        <v>36</v>
      </c>
      <c r="F258" s="113">
        <v>3413</v>
      </c>
      <c r="G258" s="113">
        <v>326</v>
      </c>
      <c r="H258" s="113">
        <v>86</v>
      </c>
      <c r="I258" s="113">
        <v>44680</v>
      </c>
      <c r="J258" s="113">
        <v>52719</v>
      </c>
      <c r="K258" s="113">
        <v>272</v>
      </c>
      <c r="L258" s="42" t="s">
        <v>19</v>
      </c>
      <c r="M258" s="42" t="s">
        <v>337</v>
      </c>
      <c r="N258" s="42" t="s">
        <v>16</v>
      </c>
      <c r="O258" s="83">
        <v>8.5608773500447627E-2</v>
      </c>
    </row>
    <row r="259" spans="1:15" x14ac:dyDescent="0.3">
      <c r="A259" s="44" t="s">
        <v>292</v>
      </c>
      <c r="B259" s="45" t="s">
        <v>28</v>
      </c>
      <c r="C259" s="46">
        <v>45736</v>
      </c>
      <c r="D259" s="45" t="s">
        <v>52</v>
      </c>
      <c r="E259" s="45" t="s">
        <v>44</v>
      </c>
      <c r="F259" s="114">
        <v>1453</v>
      </c>
      <c r="G259" s="114">
        <v>156</v>
      </c>
      <c r="H259" s="114">
        <v>178</v>
      </c>
      <c r="I259" s="114">
        <v>52980</v>
      </c>
      <c r="J259" s="114">
        <v>57180</v>
      </c>
      <c r="K259" s="114">
        <v>286</v>
      </c>
      <c r="L259" s="45" t="s">
        <v>19</v>
      </c>
      <c r="M259" s="45" t="s">
        <v>40</v>
      </c>
      <c r="N259" s="45" t="s">
        <v>53</v>
      </c>
      <c r="O259" s="84">
        <v>3.3729709324273313E-2</v>
      </c>
    </row>
    <row r="260" spans="1:15" x14ac:dyDescent="0.3">
      <c r="A260" s="44" t="s">
        <v>293</v>
      </c>
      <c r="B260" s="45" t="s">
        <v>22</v>
      </c>
      <c r="C260" s="46">
        <v>45676</v>
      </c>
      <c r="D260" s="45" t="s">
        <v>23</v>
      </c>
      <c r="E260" s="45" t="s">
        <v>29</v>
      </c>
      <c r="F260" s="114">
        <v>1651</v>
      </c>
      <c r="G260" s="114">
        <v>480</v>
      </c>
      <c r="H260" s="114">
        <v>282</v>
      </c>
      <c r="I260" s="114">
        <v>32140</v>
      </c>
      <c r="J260" s="114">
        <v>70560</v>
      </c>
      <c r="K260" s="114">
        <v>138</v>
      </c>
      <c r="L260" s="45" t="s">
        <v>40</v>
      </c>
      <c r="M260" s="45" t="s">
        <v>37</v>
      </c>
      <c r="N260" s="45" t="s">
        <v>16</v>
      </c>
      <c r="O260" s="84">
        <v>7.5077784691972627E-2</v>
      </c>
    </row>
    <row r="261" spans="1:15" x14ac:dyDescent="0.3">
      <c r="A261" s="41" t="s">
        <v>294</v>
      </c>
      <c r="B261" s="42" t="s">
        <v>22</v>
      </c>
      <c r="C261" s="43">
        <v>45662</v>
      </c>
      <c r="D261" s="42" t="s">
        <v>23</v>
      </c>
      <c r="E261" s="42" t="s">
        <v>18</v>
      </c>
      <c r="F261" s="113">
        <v>3341</v>
      </c>
      <c r="G261" s="113">
        <v>154</v>
      </c>
      <c r="H261" s="113">
        <v>123</v>
      </c>
      <c r="I261" s="113">
        <v>43369</v>
      </c>
      <c r="J261" s="113">
        <v>49035</v>
      </c>
      <c r="K261" s="113">
        <v>128</v>
      </c>
      <c r="L261" s="42" t="s">
        <v>337</v>
      </c>
      <c r="M261" s="42" t="s">
        <v>37</v>
      </c>
      <c r="N261" s="42" t="s">
        <v>16</v>
      </c>
      <c r="O261" s="83">
        <v>8.3423643616408028E-2</v>
      </c>
    </row>
    <row r="262" spans="1:15" x14ac:dyDescent="0.3">
      <c r="A262" s="44" t="s">
        <v>295</v>
      </c>
      <c r="B262" s="45" t="s">
        <v>22</v>
      </c>
      <c r="C262" s="46">
        <v>45612</v>
      </c>
      <c r="D262" s="45" t="s">
        <v>14</v>
      </c>
      <c r="E262" s="45" t="s">
        <v>44</v>
      </c>
      <c r="F262" s="114">
        <v>2972</v>
      </c>
      <c r="G262" s="114">
        <v>263</v>
      </c>
      <c r="H262" s="114">
        <v>308</v>
      </c>
      <c r="I262" s="114">
        <v>51740</v>
      </c>
      <c r="J262" s="114">
        <v>28214</v>
      </c>
      <c r="K262" s="114">
        <v>190</v>
      </c>
      <c r="L262" s="45" t="s">
        <v>40</v>
      </c>
      <c r="M262" s="45"/>
      <c r="N262" s="45" t="s">
        <v>20</v>
      </c>
      <c r="O262" s="84">
        <v>6.8477000386548123E-2</v>
      </c>
    </row>
    <row r="263" spans="1:15" x14ac:dyDescent="0.3">
      <c r="A263" s="41" t="s">
        <v>296</v>
      </c>
      <c r="B263" s="42" t="s">
        <v>22</v>
      </c>
      <c r="C263" s="43">
        <v>45626</v>
      </c>
      <c r="D263" s="42" t="s">
        <v>23</v>
      </c>
      <c r="E263" s="42" t="s">
        <v>18</v>
      </c>
      <c r="F263" s="113">
        <v>4963</v>
      </c>
      <c r="G263" s="113">
        <v>255</v>
      </c>
      <c r="H263" s="113">
        <v>193</v>
      </c>
      <c r="I263" s="113">
        <v>44386</v>
      </c>
      <c r="J263" s="113">
        <v>28415</v>
      </c>
      <c r="K263" s="113">
        <v>174</v>
      </c>
      <c r="L263" s="42" t="s">
        <v>337</v>
      </c>
      <c r="M263" s="42" t="s">
        <v>37</v>
      </c>
      <c r="N263" s="42" t="s">
        <v>16</v>
      </c>
      <c r="O263" s="83">
        <v>0.12190780876853062</v>
      </c>
    </row>
    <row r="264" spans="1:15" x14ac:dyDescent="0.3">
      <c r="A264" s="44" t="s">
        <v>297</v>
      </c>
      <c r="B264" s="45" t="s">
        <v>28</v>
      </c>
      <c r="C264" s="46">
        <v>45378</v>
      </c>
      <c r="D264" s="45" t="s">
        <v>14</v>
      </c>
      <c r="E264" s="45" t="s">
        <v>29</v>
      </c>
      <c r="F264" s="114">
        <v>2399</v>
      </c>
      <c r="G264" s="114">
        <v>191</v>
      </c>
      <c r="H264" s="114">
        <v>221</v>
      </c>
      <c r="I264" s="114">
        <v>51603</v>
      </c>
      <c r="J264" s="114">
        <v>40033</v>
      </c>
      <c r="K264" s="114">
        <v>173</v>
      </c>
      <c r="L264" s="45" t="s">
        <v>19</v>
      </c>
      <c r="M264" s="45" t="s">
        <v>338</v>
      </c>
      <c r="N264" s="45" t="s">
        <v>20</v>
      </c>
      <c r="O264" s="84">
        <v>5.4473577117609438E-2</v>
      </c>
    </row>
    <row r="265" spans="1:15" x14ac:dyDescent="0.3">
      <c r="A265" s="44" t="s">
        <v>298</v>
      </c>
      <c r="B265" s="45" t="s">
        <v>28</v>
      </c>
      <c r="C265" s="46">
        <v>45808</v>
      </c>
      <c r="D265" s="45" t="s">
        <v>52</v>
      </c>
      <c r="E265" s="45" t="s">
        <v>33</v>
      </c>
      <c r="F265" s="114">
        <v>2162</v>
      </c>
      <c r="G265" s="114">
        <v>318</v>
      </c>
      <c r="H265" s="114">
        <v>83</v>
      </c>
      <c r="I265" s="114">
        <v>46719</v>
      </c>
      <c r="J265" s="114">
        <v>20482</v>
      </c>
      <c r="K265" s="114">
        <v>185</v>
      </c>
      <c r="L265" s="45" t="s">
        <v>19</v>
      </c>
      <c r="M265" s="45" t="s">
        <v>40</v>
      </c>
      <c r="N265" s="45" t="s">
        <v>53</v>
      </c>
      <c r="O265" s="84">
        <v>5.4859907104176028E-2</v>
      </c>
    </row>
    <row r="266" spans="1:15" x14ac:dyDescent="0.3">
      <c r="A266" s="41" t="s">
        <v>299</v>
      </c>
      <c r="B266" s="42" t="s">
        <v>22</v>
      </c>
      <c r="C266" s="43">
        <v>45825</v>
      </c>
      <c r="D266" s="42" t="s">
        <v>23</v>
      </c>
      <c r="E266" s="42" t="s">
        <v>18</v>
      </c>
      <c r="F266" s="113">
        <v>4341</v>
      </c>
      <c r="G266" s="113">
        <v>141</v>
      </c>
      <c r="H266" s="113">
        <v>63</v>
      </c>
      <c r="I266" s="113">
        <v>50081</v>
      </c>
      <c r="J266" s="113">
        <v>27507</v>
      </c>
      <c r="K266" s="113">
        <v>221</v>
      </c>
      <c r="L266" s="42" t="s">
        <v>19</v>
      </c>
      <c r="M266" s="42" t="s">
        <v>337</v>
      </c>
      <c r="N266" s="42" t="s">
        <v>16</v>
      </c>
      <c r="O266" s="83">
        <v>9.0752980172121162E-2</v>
      </c>
    </row>
    <row r="267" spans="1:15" x14ac:dyDescent="0.3">
      <c r="A267" s="44" t="s">
        <v>300</v>
      </c>
      <c r="B267" s="45" t="s">
        <v>13</v>
      </c>
      <c r="C267" s="46">
        <v>45442</v>
      </c>
      <c r="D267" s="45" t="s">
        <v>23</v>
      </c>
      <c r="E267" s="45" t="s">
        <v>33</v>
      </c>
      <c r="F267" s="114">
        <v>2448</v>
      </c>
      <c r="G267" s="114">
        <v>464</v>
      </c>
      <c r="H267" s="114">
        <v>98</v>
      </c>
      <c r="I267" s="114">
        <v>25737</v>
      </c>
      <c r="J267" s="114">
        <v>48545</v>
      </c>
      <c r="K267" s="114">
        <v>246</v>
      </c>
      <c r="L267" s="45" t="s">
        <v>37</v>
      </c>
      <c r="M267" s="45"/>
      <c r="N267" s="45" t="s">
        <v>50</v>
      </c>
      <c r="O267" s="84">
        <v>0.11695224773672146</v>
      </c>
    </row>
    <row r="268" spans="1:15" x14ac:dyDescent="0.3">
      <c r="A268" s="41" t="s">
        <v>301</v>
      </c>
      <c r="B268" s="42" t="s">
        <v>28</v>
      </c>
      <c r="C268" s="43">
        <v>45604</v>
      </c>
      <c r="D268" s="42" t="s">
        <v>14</v>
      </c>
      <c r="E268" s="42" t="s">
        <v>36</v>
      </c>
      <c r="F268" s="113">
        <v>2471</v>
      </c>
      <c r="G268" s="113">
        <v>166</v>
      </c>
      <c r="H268" s="113">
        <v>320</v>
      </c>
      <c r="I268" s="113">
        <v>48254</v>
      </c>
      <c r="J268" s="113">
        <v>46900</v>
      </c>
      <c r="K268" s="113">
        <v>111</v>
      </c>
      <c r="L268" s="42" t="s">
        <v>19</v>
      </c>
      <c r="M268" s="42" t="s">
        <v>338</v>
      </c>
      <c r="N268" s="42" t="s">
        <v>20</v>
      </c>
      <c r="O268" s="83">
        <v>6.1279893894806647E-2</v>
      </c>
    </row>
    <row r="269" spans="1:15" x14ac:dyDescent="0.3">
      <c r="A269" s="41" t="s">
        <v>302</v>
      </c>
      <c r="B269" s="42" t="s">
        <v>28</v>
      </c>
      <c r="C269" s="43">
        <v>45368</v>
      </c>
      <c r="D269" s="42" t="s">
        <v>52</v>
      </c>
      <c r="E269" s="42" t="s">
        <v>18</v>
      </c>
      <c r="F269" s="113">
        <v>2692</v>
      </c>
      <c r="G269" s="113">
        <v>446</v>
      </c>
      <c r="H269" s="113">
        <v>216</v>
      </c>
      <c r="I269" s="113">
        <v>45818</v>
      </c>
      <c r="J269" s="113">
        <v>62723</v>
      </c>
      <c r="K269" s="113">
        <v>85</v>
      </c>
      <c r="L269" s="42" t="s">
        <v>19</v>
      </c>
      <c r="M269" s="42" t="s">
        <v>40</v>
      </c>
      <c r="N269" s="42" t="s">
        <v>53</v>
      </c>
      <c r="O269" s="83">
        <v>7.3202671439172376E-2</v>
      </c>
    </row>
    <row r="270" spans="1:15" x14ac:dyDescent="0.3">
      <c r="A270" s="41" t="s">
        <v>303</v>
      </c>
      <c r="B270" s="42" t="s">
        <v>28</v>
      </c>
      <c r="C270" s="43">
        <v>45464</v>
      </c>
      <c r="D270" s="42" t="s">
        <v>52</v>
      </c>
      <c r="E270" s="42" t="s">
        <v>29</v>
      </c>
      <c r="F270" s="113">
        <v>4621</v>
      </c>
      <c r="G270" s="113">
        <v>374</v>
      </c>
      <c r="H270" s="113">
        <v>298</v>
      </c>
      <c r="I270" s="113">
        <v>56979</v>
      </c>
      <c r="J270" s="113">
        <v>24098</v>
      </c>
      <c r="K270" s="113">
        <v>205</v>
      </c>
      <c r="L270" s="42" t="s">
        <v>19</v>
      </c>
      <c r="M270" s="42" t="s">
        <v>40</v>
      </c>
      <c r="N270" s="42" t="s">
        <v>53</v>
      </c>
      <c r="O270" s="83">
        <v>9.2893873181347508E-2</v>
      </c>
    </row>
    <row r="271" spans="1:15" x14ac:dyDescent="0.3">
      <c r="A271" s="41" t="s">
        <v>304</v>
      </c>
      <c r="B271" s="42" t="s">
        <v>22</v>
      </c>
      <c r="C271" s="43">
        <v>45609</v>
      </c>
      <c r="D271" s="42" t="s">
        <v>23</v>
      </c>
      <c r="E271" s="42" t="s">
        <v>24</v>
      </c>
      <c r="F271" s="113">
        <v>1409</v>
      </c>
      <c r="G271" s="113">
        <v>466</v>
      </c>
      <c r="H271" s="113">
        <v>105</v>
      </c>
      <c r="I271" s="113">
        <v>58923</v>
      </c>
      <c r="J271" s="113">
        <v>38753</v>
      </c>
      <c r="K271" s="113">
        <v>265</v>
      </c>
      <c r="L271" s="42" t="s">
        <v>19</v>
      </c>
      <c r="M271" s="42" t="s">
        <v>337</v>
      </c>
      <c r="N271" s="42" t="s">
        <v>16</v>
      </c>
      <c r="O271" s="83">
        <v>3.3603177027646251E-2</v>
      </c>
    </row>
    <row r="272" spans="1:15" x14ac:dyDescent="0.3">
      <c r="A272" s="41" t="s">
        <v>305</v>
      </c>
      <c r="B272" s="42" t="s">
        <v>22</v>
      </c>
      <c r="C272" s="43">
        <v>45693</v>
      </c>
      <c r="D272" s="42" t="s">
        <v>23</v>
      </c>
      <c r="E272" s="42" t="s">
        <v>15</v>
      </c>
      <c r="F272" s="113">
        <v>3029</v>
      </c>
      <c r="G272" s="113">
        <v>440</v>
      </c>
      <c r="H272" s="113">
        <v>66</v>
      </c>
      <c r="I272" s="113">
        <v>23815</v>
      </c>
      <c r="J272" s="113">
        <v>47895</v>
      </c>
      <c r="K272" s="113">
        <v>210</v>
      </c>
      <c r="L272" s="42" t="s">
        <v>19</v>
      </c>
      <c r="M272" s="42" t="s">
        <v>337</v>
      </c>
      <c r="N272" s="42" t="s">
        <v>16</v>
      </c>
      <c r="O272" s="83">
        <v>0.14843585975225698</v>
      </c>
    </row>
    <row r="273" spans="1:15" x14ac:dyDescent="0.3">
      <c r="A273" s="41" t="s">
        <v>306</v>
      </c>
      <c r="B273" s="42" t="s">
        <v>22</v>
      </c>
      <c r="C273" s="43">
        <v>45603</v>
      </c>
      <c r="D273" s="42" t="s">
        <v>14</v>
      </c>
      <c r="E273" s="42" t="s">
        <v>18</v>
      </c>
      <c r="F273" s="113">
        <v>2229</v>
      </c>
      <c r="G273" s="113">
        <v>395</v>
      </c>
      <c r="H273" s="113">
        <v>328</v>
      </c>
      <c r="I273" s="113">
        <v>56921</v>
      </c>
      <c r="J273" s="113">
        <v>37176</v>
      </c>
      <c r="K273" s="113">
        <v>126</v>
      </c>
      <c r="L273" s="42" t="s">
        <v>40</v>
      </c>
      <c r="M273" s="42"/>
      <c r="N273" s="42" t="s">
        <v>20</v>
      </c>
      <c r="O273" s="83">
        <v>5.1861351697967357E-2</v>
      </c>
    </row>
    <row r="274" spans="1:15" x14ac:dyDescent="0.3">
      <c r="A274" s="44" t="s">
        <v>307</v>
      </c>
      <c r="B274" s="45" t="s">
        <v>22</v>
      </c>
      <c r="C274" s="46">
        <v>45334</v>
      </c>
      <c r="D274" s="45" t="s">
        <v>14</v>
      </c>
      <c r="E274" s="45" t="s">
        <v>18</v>
      </c>
      <c r="F274" s="114">
        <v>2691</v>
      </c>
      <c r="G274" s="114">
        <v>486</v>
      </c>
      <c r="H274" s="114">
        <v>206</v>
      </c>
      <c r="I274" s="114">
        <v>51133</v>
      </c>
      <c r="J274" s="114">
        <v>44583</v>
      </c>
      <c r="K274" s="114">
        <v>276</v>
      </c>
      <c r="L274" s="45" t="s">
        <v>37</v>
      </c>
      <c r="M274" s="45"/>
      <c r="N274" s="45" t="s">
        <v>16</v>
      </c>
      <c r="O274" s="84">
        <v>6.6160796354604659E-2</v>
      </c>
    </row>
    <row r="275" spans="1:15" x14ac:dyDescent="0.3">
      <c r="A275" s="41" t="s">
        <v>308</v>
      </c>
      <c r="B275" s="42" t="s">
        <v>13</v>
      </c>
      <c r="C275" s="43">
        <v>45573</v>
      </c>
      <c r="D275" s="42" t="s">
        <v>14</v>
      </c>
      <c r="E275" s="42" t="s">
        <v>18</v>
      </c>
      <c r="F275" s="113">
        <v>2110</v>
      </c>
      <c r="G275" s="113">
        <v>384</v>
      </c>
      <c r="H275" s="113">
        <v>236</v>
      </c>
      <c r="I275" s="113">
        <v>49965</v>
      </c>
      <c r="J275" s="113">
        <v>61555</v>
      </c>
      <c r="K275" s="113">
        <v>195</v>
      </c>
      <c r="L275" s="42" t="s">
        <v>19</v>
      </c>
      <c r="M275" s="42"/>
      <c r="N275" s="42" t="s">
        <v>20</v>
      </c>
      <c r="O275" s="83">
        <v>5.4638246772740921E-2</v>
      </c>
    </row>
    <row r="276" spans="1:15" x14ac:dyDescent="0.3">
      <c r="A276" s="41" t="s">
        <v>309</v>
      </c>
      <c r="B276" s="42" t="s">
        <v>13</v>
      </c>
      <c r="C276" s="43">
        <v>45341</v>
      </c>
      <c r="D276" s="42" t="s">
        <v>14</v>
      </c>
      <c r="E276" s="42" t="s">
        <v>26</v>
      </c>
      <c r="F276" s="113">
        <v>4752</v>
      </c>
      <c r="G276" s="113">
        <v>449</v>
      </c>
      <c r="H276" s="113">
        <v>309</v>
      </c>
      <c r="I276" s="113">
        <v>58530</v>
      </c>
      <c r="J276" s="113">
        <v>26630</v>
      </c>
      <c r="K276" s="113">
        <v>234</v>
      </c>
      <c r="L276" s="42" t="s">
        <v>19</v>
      </c>
      <c r="M276" s="42"/>
      <c r="N276" s="42" t="s">
        <v>20</v>
      </c>
      <c r="O276" s="83">
        <v>9.4139757389372969E-2</v>
      </c>
    </row>
    <row r="277" spans="1:15" x14ac:dyDescent="0.3">
      <c r="A277" s="41" t="s">
        <v>310</v>
      </c>
      <c r="B277" s="42" t="s">
        <v>22</v>
      </c>
      <c r="C277" s="43">
        <v>45720</v>
      </c>
      <c r="D277" s="42" t="s">
        <v>14</v>
      </c>
      <c r="E277" s="42" t="s">
        <v>15</v>
      </c>
      <c r="F277" s="113">
        <v>2177</v>
      </c>
      <c r="G277" s="113">
        <v>258</v>
      </c>
      <c r="H277" s="113">
        <v>292</v>
      </c>
      <c r="I277" s="113">
        <v>47276</v>
      </c>
      <c r="J277" s="113">
        <v>51324</v>
      </c>
      <c r="K277" s="113">
        <v>143</v>
      </c>
      <c r="L277" s="42" t="s">
        <v>37</v>
      </c>
      <c r="M277" s="42"/>
      <c r="N277" s="42" t="s">
        <v>16</v>
      </c>
      <c r="O277" s="83">
        <v>5.7682545054573146E-2</v>
      </c>
    </row>
    <row r="278" spans="1:15" x14ac:dyDescent="0.3">
      <c r="A278" s="41" t="s">
        <v>311</v>
      </c>
      <c r="B278" s="42" t="s">
        <v>13</v>
      </c>
      <c r="C278" s="43">
        <v>45691</v>
      </c>
      <c r="D278" s="42" t="s">
        <v>23</v>
      </c>
      <c r="E278" s="42" t="s">
        <v>24</v>
      </c>
      <c r="F278" s="113">
        <v>1205</v>
      </c>
      <c r="G278" s="113">
        <v>486</v>
      </c>
      <c r="H278" s="113">
        <v>269</v>
      </c>
      <c r="I278" s="113">
        <v>23341</v>
      </c>
      <c r="J278" s="113">
        <v>42411</v>
      </c>
      <c r="K278" s="113">
        <v>184</v>
      </c>
      <c r="L278" s="42" t="s">
        <v>37</v>
      </c>
      <c r="M278" s="42"/>
      <c r="N278" s="42" t="s">
        <v>50</v>
      </c>
      <c r="O278" s="83">
        <v>8.3972409065592737E-2</v>
      </c>
    </row>
    <row r="279" spans="1:15" x14ac:dyDescent="0.3">
      <c r="A279" s="41" t="s">
        <v>312</v>
      </c>
      <c r="B279" s="42" t="s">
        <v>13</v>
      </c>
      <c r="C279" s="43">
        <v>45628</v>
      </c>
      <c r="D279" s="42" t="s">
        <v>14</v>
      </c>
      <c r="E279" s="42" t="s">
        <v>36</v>
      </c>
      <c r="F279" s="113">
        <v>3194</v>
      </c>
      <c r="G279" s="113">
        <v>292</v>
      </c>
      <c r="H279" s="113">
        <v>245</v>
      </c>
      <c r="I279" s="113">
        <v>56371</v>
      </c>
      <c r="J279" s="113">
        <v>65597</v>
      </c>
      <c r="K279" s="113">
        <v>163</v>
      </c>
      <c r="L279" s="42" t="s">
        <v>40</v>
      </c>
      <c r="M279" s="42" t="s">
        <v>37</v>
      </c>
      <c r="N279" s="42" t="s">
        <v>16</v>
      </c>
      <c r="O279" s="83">
        <v>6.6186514342481059E-2</v>
      </c>
    </row>
    <row r="280" spans="1:15" x14ac:dyDescent="0.3">
      <c r="A280" s="44" t="s">
        <v>313</v>
      </c>
      <c r="B280" s="45" t="s">
        <v>22</v>
      </c>
      <c r="C280" s="46">
        <v>45676</v>
      </c>
      <c r="D280" s="45" t="s">
        <v>23</v>
      </c>
      <c r="E280" s="45" t="s">
        <v>24</v>
      </c>
      <c r="F280" s="114">
        <v>3507</v>
      </c>
      <c r="G280" s="114">
        <v>295</v>
      </c>
      <c r="H280" s="114">
        <v>371</v>
      </c>
      <c r="I280" s="114">
        <v>20410</v>
      </c>
      <c r="J280" s="114">
        <v>53965</v>
      </c>
      <c r="K280" s="114">
        <v>212</v>
      </c>
      <c r="L280" s="45" t="s">
        <v>40</v>
      </c>
      <c r="M280" s="45" t="s">
        <v>37</v>
      </c>
      <c r="N280" s="45" t="s">
        <v>16</v>
      </c>
      <c r="O280" s="84">
        <v>0.20445859872611466</v>
      </c>
    </row>
    <row r="281" spans="1:15" x14ac:dyDescent="0.3">
      <c r="A281" s="41" t="s">
        <v>314</v>
      </c>
      <c r="B281" s="42" t="s">
        <v>22</v>
      </c>
      <c r="C281" s="43">
        <v>45563</v>
      </c>
      <c r="D281" s="42" t="s">
        <v>23</v>
      </c>
      <c r="E281" s="42" t="s">
        <v>26</v>
      </c>
      <c r="F281" s="113">
        <v>4471</v>
      </c>
      <c r="G281" s="113">
        <v>317</v>
      </c>
      <c r="H281" s="113">
        <v>249</v>
      </c>
      <c r="I281" s="113">
        <v>44862</v>
      </c>
      <c r="J281" s="113">
        <v>33365</v>
      </c>
      <c r="K281" s="113">
        <v>184</v>
      </c>
      <c r="L281" s="42" t="s">
        <v>19</v>
      </c>
      <c r="M281" s="42" t="s">
        <v>337</v>
      </c>
      <c r="N281" s="42" t="s">
        <v>16</v>
      </c>
      <c r="O281" s="83">
        <v>0.1122776514644911</v>
      </c>
    </row>
    <row r="282" spans="1:15" x14ac:dyDescent="0.3">
      <c r="A282" s="44" t="s">
        <v>315</v>
      </c>
      <c r="B282" s="45" t="s">
        <v>13</v>
      </c>
      <c r="C282" s="46">
        <v>45298</v>
      </c>
      <c r="D282" s="45" t="s">
        <v>14</v>
      </c>
      <c r="E282" s="45" t="s">
        <v>36</v>
      </c>
      <c r="F282" s="114">
        <v>4931</v>
      </c>
      <c r="G282" s="114">
        <v>469</v>
      </c>
      <c r="H282" s="114">
        <v>193</v>
      </c>
      <c r="I282" s="114">
        <v>56701</v>
      </c>
      <c r="J282" s="114">
        <v>69437</v>
      </c>
      <c r="K282" s="114">
        <v>291</v>
      </c>
      <c r="L282" s="45" t="s">
        <v>40</v>
      </c>
      <c r="M282" s="45" t="s">
        <v>37</v>
      </c>
      <c r="N282" s="45" t="s">
        <v>16</v>
      </c>
      <c r="O282" s="84">
        <v>9.8640235621946709E-2</v>
      </c>
    </row>
    <row r="283" spans="1:15" x14ac:dyDescent="0.3">
      <c r="A283" s="41" t="s">
        <v>316</v>
      </c>
      <c r="B283" s="42" t="s">
        <v>22</v>
      </c>
      <c r="C283" s="43">
        <v>45343</v>
      </c>
      <c r="D283" s="42" t="s">
        <v>23</v>
      </c>
      <c r="E283" s="42" t="s">
        <v>33</v>
      </c>
      <c r="F283" s="113">
        <v>2604</v>
      </c>
      <c r="G283" s="113">
        <v>439</v>
      </c>
      <c r="H283" s="113">
        <v>148</v>
      </c>
      <c r="I283" s="113">
        <v>58468</v>
      </c>
      <c r="J283" s="113">
        <v>39629</v>
      </c>
      <c r="K283" s="113">
        <v>163</v>
      </c>
      <c r="L283" s="42" t="s">
        <v>337</v>
      </c>
      <c r="M283" s="42" t="s">
        <v>37</v>
      </c>
      <c r="N283" s="42" t="s">
        <v>16</v>
      </c>
      <c r="O283" s="83">
        <v>5.4576862557296296E-2</v>
      </c>
    </row>
    <row r="284" spans="1:15" x14ac:dyDescent="0.3">
      <c r="A284" s="41" t="s">
        <v>317</v>
      </c>
      <c r="B284" s="42" t="s">
        <v>13</v>
      </c>
      <c r="C284" s="43">
        <v>45531</v>
      </c>
      <c r="D284" s="42" t="s">
        <v>14</v>
      </c>
      <c r="E284" s="42" t="s">
        <v>29</v>
      </c>
      <c r="F284" s="113">
        <v>4197</v>
      </c>
      <c r="G284" s="113">
        <v>359</v>
      </c>
      <c r="H284" s="113">
        <v>280</v>
      </c>
      <c r="I284" s="113">
        <v>56048</v>
      </c>
      <c r="J284" s="113">
        <v>70930</v>
      </c>
      <c r="K284" s="113">
        <v>295</v>
      </c>
      <c r="L284" s="42" t="s">
        <v>19</v>
      </c>
      <c r="M284" s="42"/>
      <c r="N284" s="42" t="s">
        <v>20</v>
      </c>
      <c r="O284" s="83">
        <v>8.628318584070796E-2</v>
      </c>
    </row>
    <row r="285" spans="1:15" x14ac:dyDescent="0.3">
      <c r="A285" s="44" t="s">
        <v>318</v>
      </c>
      <c r="B285" s="45" t="s">
        <v>13</v>
      </c>
      <c r="C285" s="46">
        <v>45589</v>
      </c>
      <c r="D285" s="45" t="s">
        <v>23</v>
      </c>
      <c r="E285" s="45" t="s">
        <v>36</v>
      </c>
      <c r="F285" s="114">
        <v>1914</v>
      </c>
      <c r="G285" s="114">
        <v>255</v>
      </c>
      <c r="H285" s="114">
        <v>156</v>
      </c>
      <c r="I285" s="114">
        <v>27660</v>
      </c>
      <c r="J285" s="114">
        <v>47776</v>
      </c>
      <c r="K285" s="114">
        <v>111</v>
      </c>
      <c r="L285" s="45" t="s">
        <v>37</v>
      </c>
      <c r="M285" s="45"/>
      <c r="N285" s="45" t="s">
        <v>50</v>
      </c>
      <c r="O285" s="84">
        <v>8.4056399132321047E-2</v>
      </c>
    </row>
    <row r="286" spans="1:15" x14ac:dyDescent="0.3">
      <c r="A286" s="44" t="s">
        <v>319</v>
      </c>
      <c r="B286" s="45" t="s">
        <v>28</v>
      </c>
      <c r="C286" s="46">
        <v>45686</v>
      </c>
      <c r="D286" s="45" t="s">
        <v>14</v>
      </c>
      <c r="E286" s="45" t="s">
        <v>24</v>
      </c>
      <c r="F286" s="114">
        <v>1334</v>
      </c>
      <c r="G286" s="114">
        <v>357</v>
      </c>
      <c r="H286" s="114">
        <v>257</v>
      </c>
      <c r="I286" s="114">
        <v>56910</v>
      </c>
      <c r="J286" s="114">
        <v>70606</v>
      </c>
      <c r="K286" s="114">
        <v>228</v>
      </c>
      <c r="L286" s="45" t="s">
        <v>19</v>
      </c>
      <c r="M286" s="45" t="s">
        <v>338</v>
      </c>
      <c r="N286" s="45" t="s">
        <v>20</v>
      </c>
      <c r="O286" s="84">
        <v>3.4229485151994379E-2</v>
      </c>
    </row>
    <row r="287" spans="1:15" x14ac:dyDescent="0.3">
      <c r="A287" s="44" t="s">
        <v>320</v>
      </c>
      <c r="B287" s="45" t="s">
        <v>13</v>
      </c>
      <c r="C287" s="46">
        <v>45413</v>
      </c>
      <c r="D287" s="45" t="s">
        <v>14</v>
      </c>
      <c r="E287" s="45" t="s">
        <v>33</v>
      </c>
      <c r="F287" s="114">
        <v>3359</v>
      </c>
      <c r="G287" s="114">
        <v>137</v>
      </c>
      <c r="H287" s="114">
        <v>387</v>
      </c>
      <c r="I287" s="114">
        <v>33861</v>
      </c>
      <c r="J287" s="114">
        <v>47257</v>
      </c>
      <c r="K287" s="114">
        <v>198</v>
      </c>
      <c r="L287" s="45" t="s">
        <v>19</v>
      </c>
      <c r="M287" s="45"/>
      <c r="N287" s="45" t="s">
        <v>20</v>
      </c>
      <c r="O287" s="84">
        <v>0.11467469950680724</v>
      </c>
    </row>
    <row r="288" spans="1:15" x14ac:dyDescent="0.3">
      <c r="A288" s="44" t="s">
        <v>321</v>
      </c>
      <c r="B288" s="45" t="s">
        <v>28</v>
      </c>
      <c r="C288" s="46">
        <v>45468</v>
      </c>
      <c r="D288" s="45" t="s">
        <v>14</v>
      </c>
      <c r="E288" s="45" t="s">
        <v>46</v>
      </c>
      <c r="F288" s="114">
        <v>2172</v>
      </c>
      <c r="G288" s="114">
        <v>338</v>
      </c>
      <c r="H288" s="114">
        <v>70</v>
      </c>
      <c r="I288" s="114">
        <v>30515</v>
      </c>
      <c r="J288" s="114">
        <v>57853</v>
      </c>
      <c r="K288" s="114">
        <v>156</v>
      </c>
      <c r="L288" s="45" t="s">
        <v>19</v>
      </c>
      <c r="M288" s="45" t="s">
        <v>338</v>
      </c>
      <c r="N288" s="45" t="s">
        <v>20</v>
      </c>
      <c r="O288" s="84">
        <v>8.4548582664263475E-2</v>
      </c>
    </row>
    <row r="289" spans="1:15" x14ac:dyDescent="0.3">
      <c r="A289" s="44" t="s">
        <v>322</v>
      </c>
      <c r="B289" s="45" t="s">
        <v>22</v>
      </c>
      <c r="C289" s="46">
        <v>45513</v>
      </c>
      <c r="D289" s="45" t="s">
        <v>23</v>
      </c>
      <c r="E289" s="45" t="s">
        <v>44</v>
      </c>
      <c r="F289" s="114">
        <v>4877</v>
      </c>
      <c r="G289" s="114">
        <v>442</v>
      </c>
      <c r="H289" s="114">
        <v>236</v>
      </c>
      <c r="I289" s="114">
        <v>52673</v>
      </c>
      <c r="J289" s="114">
        <v>48241</v>
      </c>
      <c r="K289" s="114">
        <v>114</v>
      </c>
      <c r="L289" s="45" t="s">
        <v>19</v>
      </c>
      <c r="M289" s="45" t="s">
        <v>337</v>
      </c>
      <c r="N289" s="45" t="s">
        <v>16</v>
      </c>
      <c r="O289" s="84">
        <v>0.10546200140489435</v>
      </c>
    </row>
    <row r="290" spans="1:15" x14ac:dyDescent="0.3">
      <c r="A290" s="44" t="s">
        <v>323</v>
      </c>
      <c r="B290" s="45" t="s">
        <v>13</v>
      </c>
      <c r="C290" s="46">
        <v>45678</v>
      </c>
      <c r="D290" s="45" t="s">
        <v>23</v>
      </c>
      <c r="E290" s="45" t="s">
        <v>24</v>
      </c>
      <c r="F290" s="114">
        <v>4918</v>
      </c>
      <c r="G290" s="114">
        <v>440</v>
      </c>
      <c r="H290" s="114">
        <v>149</v>
      </c>
      <c r="I290" s="114">
        <v>53269</v>
      </c>
      <c r="J290" s="114">
        <v>64370</v>
      </c>
      <c r="K290" s="114">
        <v>269</v>
      </c>
      <c r="L290" s="45" t="s">
        <v>37</v>
      </c>
      <c r="M290" s="45"/>
      <c r="N290" s="45" t="s">
        <v>50</v>
      </c>
      <c r="O290" s="84">
        <v>0.10338095327488783</v>
      </c>
    </row>
    <row r="291" spans="1:15" x14ac:dyDescent="0.3">
      <c r="A291" s="41" t="s">
        <v>324</v>
      </c>
      <c r="B291" s="42" t="s">
        <v>22</v>
      </c>
      <c r="C291" s="43">
        <v>45517</v>
      </c>
      <c r="D291" s="42" t="s">
        <v>14</v>
      </c>
      <c r="E291" s="42" t="s">
        <v>18</v>
      </c>
      <c r="F291" s="113">
        <v>3418</v>
      </c>
      <c r="G291" s="113">
        <v>107</v>
      </c>
      <c r="H291" s="113">
        <v>221</v>
      </c>
      <c r="I291" s="113">
        <v>23927</v>
      </c>
      <c r="J291" s="113">
        <v>26182</v>
      </c>
      <c r="K291" s="113">
        <v>155</v>
      </c>
      <c r="L291" s="42" t="s">
        <v>40</v>
      </c>
      <c r="M291" s="42"/>
      <c r="N291" s="42" t="s">
        <v>20</v>
      </c>
      <c r="O291" s="83">
        <v>0.1565595352530614</v>
      </c>
    </row>
    <row r="292" spans="1:15" x14ac:dyDescent="0.3">
      <c r="A292" s="41" t="s">
        <v>325</v>
      </c>
      <c r="B292" s="42" t="s">
        <v>13</v>
      </c>
      <c r="C292" s="43">
        <v>45472</v>
      </c>
      <c r="D292" s="42" t="s">
        <v>14</v>
      </c>
      <c r="E292" s="42" t="s">
        <v>46</v>
      </c>
      <c r="F292" s="113">
        <v>2088</v>
      </c>
      <c r="G292" s="113">
        <v>490</v>
      </c>
      <c r="H292" s="113">
        <v>124</v>
      </c>
      <c r="I292" s="113">
        <v>46544</v>
      </c>
      <c r="J292" s="113">
        <v>69346</v>
      </c>
      <c r="K292" s="113">
        <v>178</v>
      </c>
      <c r="L292" s="42" t="s">
        <v>40</v>
      </c>
      <c r="M292" s="42" t="s">
        <v>37</v>
      </c>
      <c r="N292" s="42" t="s">
        <v>16</v>
      </c>
      <c r="O292" s="83">
        <v>5.8052595393606049E-2</v>
      </c>
    </row>
    <row r="293" spans="1:15" x14ac:dyDescent="0.3">
      <c r="A293" s="41" t="s">
        <v>326</v>
      </c>
      <c r="B293" s="42" t="s">
        <v>22</v>
      </c>
      <c r="C293" s="43">
        <v>45599</v>
      </c>
      <c r="D293" s="42" t="s">
        <v>23</v>
      </c>
      <c r="E293" s="42" t="s">
        <v>18</v>
      </c>
      <c r="F293" s="113">
        <v>3061</v>
      </c>
      <c r="G293" s="113">
        <v>320</v>
      </c>
      <c r="H293" s="113">
        <v>76</v>
      </c>
      <c r="I293" s="113">
        <v>26640</v>
      </c>
      <c r="J293" s="113">
        <v>24306</v>
      </c>
      <c r="K293" s="113">
        <v>112</v>
      </c>
      <c r="L293" s="42" t="s">
        <v>337</v>
      </c>
      <c r="M293" s="42" t="s">
        <v>37</v>
      </c>
      <c r="N293" s="42" t="s">
        <v>16</v>
      </c>
      <c r="O293" s="83">
        <v>0.12976726726726726</v>
      </c>
    </row>
    <row r="294" spans="1:15" x14ac:dyDescent="0.3">
      <c r="A294" s="44" t="s">
        <v>327</v>
      </c>
      <c r="B294" s="45" t="s">
        <v>28</v>
      </c>
      <c r="C294" s="46">
        <v>45765</v>
      </c>
      <c r="D294" s="45" t="s">
        <v>52</v>
      </c>
      <c r="E294" s="45" t="s">
        <v>46</v>
      </c>
      <c r="F294" s="114">
        <v>1265</v>
      </c>
      <c r="G294" s="114">
        <v>230</v>
      </c>
      <c r="H294" s="114">
        <v>364</v>
      </c>
      <c r="I294" s="114">
        <v>41312</v>
      </c>
      <c r="J294" s="114">
        <v>50382</v>
      </c>
      <c r="K294" s="114">
        <v>106</v>
      </c>
      <c r="L294" s="45" t="s">
        <v>19</v>
      </c>
      <c r="M294" s="45" t="s">
        <v>40</v>
      </c>
      <c r="N294" s="45" t="s">
        <v>53</v>
      </c>
      <c r="O294" s="84">
        <v>4.4999031758326875E-2</v>
      </c>
    </row>
    <row r="295" spans="1:15" x14ac:dyDescent="0.3">
      <c r="A295" s="44" t="s">
        <v>328</v>
      </c>
      <c r="B295" s="45" t="s">
        <v>13</v>
      </c>
      <c r="C295" s="46">
        <v>45653</v>
      </c>
      <c r="D295" s="45" t="s">
        <v>14</v>
      </c>
      <c r="E295" s="45" t="s">
        <v>44</v>
      </c>
      <c r="F295" s="114">
        <v>1436</v>
      </c>
      <c r="G295" s="114">
        <v>219</v>
      </c>
      <c r="H295" s="114">
        <v>229</v>
      </c>
      <c r="I295" s="114">
        <v>58488</v>
      </c>
      <c r="J295" s="114">
        <v>24314</v>
      </c>
      <c r="K295" s="114">
        <v>147</v>
      </c>
      <c r="L295" s="45" t="s">
        <v>19</v>
      </c>
      <c r="M295" s="45"/>
      <c r="N295" s="45" t="s">
        <v>20</v>
      </c>
      <c r="O295" s="84">
        <v>3.221173574066475E-2</v>
      </c>
    </row>
    <row r="296" spans="1:15" x14ac:dyDescent="0.3">
      <c r="A296" s="44" t="s">
        <v>329</v>
      </c>
      <c r="B296" s="45" t="s">
        <v>13</v>
      </c>
      <c r="C296" s="46">
        <v>45724</v>
      </c>
      <c r="D296" s="45" t="s">
        <v>23</v>
      </c>
      <c r="E296" s="45" t="s">
        <v>36</v>
      </c>
      <c r="F296" s="114">
        <v>2244</v>
      </c>
      <c r="G296" s="114">
        <v>392</v>
      </c>
      <c r="H296" s="114">
        <v>231</v>
      </c>
      <c r="I296" s="114">
        <v>25834</v>
      </c>
      <c r="J296" s="114">
        <v>50906</v>
      </c>
      <c r="K296" s="114">
        <v>165</v>
      </c>
      <c r="L296" s="45" t="s">
        <v>37</v>
      </c>
      <c r="M296" s="45"/>
      <c r="N296" s="45" t="s">
        <v>50</v>
      </c>
      <c r="O296" s="84">
        <v>0.1109777812185492</v>
      </c>
    </row>
    <row r="297" spans="1:15" x14ac:dyDescent="0.3">
      <c r="A297" s="41" t="s">
        <v>330</v>
      </c>
      <c r="B297" s="42" t="s">
        <v>22</v>
      </c>
      <c r="C297" s="43">
        <v>45736</v>
      </c>
      <c r="D297" s="42" t="s">
        <v>23</v>
      </c>
      <c r="E297" s="42" t="s">
        <v>46</v>
      </c>
      <c r="F297" s="113">
        <v>3393</v>
      </c>
      <c r="G297" s="113">
        <v>104</v>
      </c>
      <c r="H297" s="113">
        <v>79</v>
      </c>
      <c r="I297" s="113">
        <v>30025</v>
      </c>
      <c r="J297" s="113">
        <v>21593</v>
      </c>
      <c r="K297" s="113">
        <v>165</v>
      </c>
      <c r="L297" s="42" t="s">
        <v>337</v>
      </c>
      <c r="M297" s="42" t="s">
        <v>37</v>
      </c>
      <c r="N297" s="42" t="s">
        <v>16</v>
      </c>
      <c r="O297" s="83">
        <v>0.1191007493755204</v>
      </c>
    </row>
    <row r="298" spans="1:15" x14ac:dyDescent="0.3">
      <c r="A298" s="44" t="s">
        <v>331</v>
      </c>
      <c r="B298" s="45" t="s">
        <v>22</v>
      </c>
      <c r="C298" s="46">
        <v>45612</v>
      </c>
      <c r="D298" s="45" t="s">
        <v>14</v>
      </c>
      <c r="E298" s="45" t="s">
        <v>18</v>
      </c>
      <c r="F298" s="114">
        <v>2901</v>
      </c>
      <c r="G298" s="114">
        <v>108</v>
      </c>
      <c r="H298" s="114">
        <v>86</v>
      </c>
      <c r="I298" s="114">
        <v>51777</v>
      </c>
      <c r="J298" s="114">
        <v>23773</v>
      </c>
      <c r="K298" s="114">
        <v>160</v>
      </c>
      <c r="L298" s="45" t="s">
        <v>40</v>
      </c>
      <c r="M298" s="45"/>
      <c r="N298" s="45" t="s">
        <v>20</v>
      </c>
      <c r="O298" s="84">
        <v>5.9775576027966085E-2</v>
      </c>
    </row>
    <row r="299" spans="1:15" x14ac:dyDescent="0.3">
      <c r="A299" s="41" t="s">
        <v>332</v>
      </c>
      <c r="B299" s="42" t="s">
        <v>22</v>
      </c>
      <c r="C299" s="43">
        <v>45838</v>
      </c>
      <c r="D299" s="42" t="s">
        <v>14</v>
      </c>
      <c r="E299" s="42" t="s">
        <v>31</v>
      </c>
      <c r="F299" s="113">
        <v>2275</v>
      </c>
      <c r="G299" s="113">
        <v>285</v>
      </c>
      <c r="H299" s="113">
        <v>125</v>
      </c>
      <c r="I299" s="113">
        <v>43970</v>
      </c>
      <c r="J299" s="113">
        <v>74761</v>
      </c>
      <c r="K299" s="113">
        <v>83</v>
      </c>
      <c r="L299" s="42" t="s">
        <v>37</v>
      </c>
      <c r="M299" s="42"/>
      <c r="N299" s="42" t="s">
        <v>16</v>
      </c>
      <c r="O299" s="83">
        <v>6.1064362065044349E-2</v>
      </c>
    </row>
    <row r="300" spans="1:15" x14ac:dyDescent="0.3">
      <c r="A300" s="41" t="s">
        <v>333</v>
      </c>
      <c r="B300" s="42" t="s">
        <v>22</v>
      </c>
      <c r="C300" s="43">
        <v>45303</v>
      </c>
      <c r="D300" s="42" t="s">
        <v>23</v>
      </c>
      <c r="E300" s="42" t="s">
        <v>26</v>
      </c>
      <c r="F300" s="113">
        <v>2227</v>
      </c>
      <c r="G300" s="113">
        <v>494</v>
      </c>
      <c r="H300" s="113">
        <v>161</v>
      </c>
      <c r="I300" s="113">
        <v>51651</v>
      </c>
      <c r="J300" s="113">
        <v>68074</v>
      </c>
      <c r="K300" s="113">
        <v>240</v>
      </c>
      <c r="L300" s="42" t="s">
        <v>19</v>
      </c>
      <c r="M300" s="42" t="s">
        <v>337</v>
      </c>
      <c r="N300" s="42" t="s">
        <v>16</v>
      </c>
      <c r="O300" s="83">
        <v>5.5797564422760453E-2</v>
      </c>
    </row>
    <row r="301" spans="1:15" x14ac:dyDescent="0.3">
      <c r="A301" s="50" t="s">
        <v>334</v>
      </c>
      <c r="B301" s="51" t="s">
        <v>13</v>
      </c>
      <c r="C301" s="52">
        <v>45329</v>
      </c>
      <c r="D301" s="51" t="s">
        <v>14</v>
      </c>
      <c r="E301" s="51" t="s">
        <v>29</v>
      </c>
      <c r="F301" s="115">
        <v>1883</v>
      </c>
      <c r="G301" s="115">
        <v>432</v>
      </c>
      <c r="H301" s="115">
        <v>397</v>
      </c>
      <c r="I301" s="115">
        <v>28759</v>
      </c>
      <c r="J301" s="115">
        <v>18691</v>
      </c>
      <c r="K301" s="115">
        <v>270</v>
      </c>
      <c r="L301" s="51" t="s">
        <v>40</v>
      </c>
      <c r="M301" s="51" t="s">
        <v>37</v>
      </c>
      <c r="N301" s="51" t="s">
        <v>16</v>
      </c>
      <c r="O301" s="85">
        <v>9.4300914496331587E-2</v>
      </c>
    </row>
  </sheetData>
  <sortState xmlns:xlrd2="http://schemas.microsoft.com/office/spreadsheetml/2017/richdata2" ref="A2:O301">
    <sortCondition ref="A2:A30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0313C-AA8A-4E08-B86F-565F264B8A81}">
  <sheetPr codeName="Sheet4"/>
  <dimension ref="A1:I203"/>
  <sheetViews>
    <sheetView workbookViewId="0">
      <selection activeCell="C8" sqref="C8"/>
    </sheetView>
  </sheetViews>
  <sheetFormatPr defaultRowHeight="14.4" x14ac:dyDescent="0.3"/>
  <cols>
    <col min="1" max="1" width="17.5546875" style="1" bestFit="1" customWidth="1"/>
    <col min="2" max="2" width="10.44140625" style="2" bestFit="1" customWidth="1"/>
    <col min="3" max="3" width="15.77734375" style="4" bestFit="1" customWidth="1"/>
    <col min="4" max="4" width="11.33203125" style="4" bestFit="1" customWidth="1"/>
    <col min="5" max="5" width="16.21875" style="4" bestFit="1" customWidth="1"/>
    <col min="6" max="6" width="18" style="3" bestFit="1" customWidth="1"/>
    <col min="7" max="7" width="11.5546875" style="4" bestFit="1" customWidth="1"/>
    <col min="8" max="8" width="17.5546875" customWidth="1"/>
    <col min="9" max="9" width="14.88671875" style="14" customWidth="1"/>
  </cols>
  <sheetData>
    <row r="1" spans="1:9" ht="15" thickBot="1" x14ac:dyDescent="0.35">
      <c r="A1" s="10" t="s">
        <v>339</v>
      </c>
      <c r="B1" s="15" t="s">
        <v>1</v>
      </c>
      <c r="C1" s="16" t="s">
        <v>340</v>
      </c>
      <c r="D1" s="16" t="s">
        <v>341</v>
      </c>
      <c r="E1" s="16" t="s">
        <v>342</v>
      </c>
      <c r="F1" s="17" t="s">
        <v>343</v>
      </c>
      <c r="G1" s="16" t="s">
        <v>344</v>
      </c>
      <c r="H1" s="18" t="s">
        <v>355</v>
      </c>
      <c r="I1" s="19" t="s">
        <v>356</v>
      </c>
    </row>
    <row r="2" spans="1:9" x14ac:dyDescent="0.3">
      <c r="A2" s="11">
        <v>45446</v>
      </c>
      <c r="B2" s="20" t="s">
        <v>13</v>
      </c>
      <c r="C2" s="21">
        <v>1402</v>
      </c>
      <c r="D2" s="21">
        <v>68</v>
      </c>
      <c r="E2" s="21">
        <v>124562</v>
      </c>
      <c r="F2" s="22">
        <v>9.92</v>
      </c>
      <c r="G2" s="21">
        <v>23125</v>
      </c>
      <c r="H2" s="23">
        <f>C2-D2</f>
        <v>1334</v>
      </c>
      <c r="I2" s="24">
        <f>H2/E2</f>
        <v>1.0709526179733787E-2</v>
      </c>
    </row>
    <row r="3" spans="1:9" x14ac:dyDescent="0.3">
      <c r="A3" s="12">
        <v>45446</v>
      </c>
      <c r="B3" s="25" t="s">
        <v>22</v>
      </c>
      <c r="C3" s="26">
        <v>995</v>
      </c>
      <c r="D3" s="26">
        <v>86</v>
      </c>
      <c r="E3" s="26">
        <v>227958</v>
      </c>
      <c r="F3" s="27">
        <v>8.0500000000000007</v>
      </c>
      <c r="G3" s="26">
        <v>22788</v>
      </c>
      <c r="H3" s="28">
        <f t="shared" ref="H3:H66" si="0">C3-D3</f>
        <v>909</v>
      </c>
      <c r="I3" s="29">
        <f t="shared" ref="I3:I66" si="1">H3/E3</f>
        <v>3.9875766588582107E-3</v>
      </c>
    </row>
    <row r="4" spans="1:9" x14ac:dyDescent="0.3">
      <c r="A4" s="11">
        <v>45446</v>
      </c>
      <c r="B4" s="20" t="s">
        <v>28</v>
      </c>
      <c r="C4" s="21">
        <v>1472</v>
      </c>
      <c r="D4" s="21">
        <v>296</v>
      </c>
      <c r="E4" s="21">
        <v>370242</v>
      </c>
      <c r="F4" s="22">
        <v>7.72</v>
      </c>
      <c r="G4" s="21">
        <v>7810</v>
      </c>
      <c r="H4" s="30">
        <f t="shared" si="0"/>
        <v>1176</v>
      </c>
      <c r="I4" s="31">
        <f t="shared" si="1"/>
        <v>3.176300905893983E-3</v>
      </c>
    </row>
    <row r="5" spans="1:9" x14ac:dyDescent="0.3">
      <c r="A5" s="12">
        <v>45453</v>
      </c>
      <c r="B5" s="25" t="s">
        <v>13</v>
      </c>
      <c r="C5" s="26">
        <v>1018</v>
      </c>
      <c r="D5" s="26">
        <v>90</v>
      </c>
      <c r="E5" s="26">
        <v>92474</v>
      </c>
      <c r="F5" s="27">
        <v>9.4</v>
      </c>
      <c r="G5" s="26">
        <v>11966</v>
      </c>
      <c r="H5" s="28">
        <f t="shared" si="0"/>
        <v>928</v>
      </c>
      <c r="I5" s="29">
        <f t="shared" si="1"/>
        <v>1.0035253152237385E-2</v>
      </c>
    </row>
    <row r="6" spans="1:9" x14ac:dyDescent="0.3">
      <c r="A6" s="11">
        <v>45453</v>
      </c>
      <c r="B6" s="20" t="s">
        <v>22</v>
      </c>
      <c r="C6" s="21">
        <v>1461</v>
      </c>
      <c r="D6" s="21">
        <v>64</v>
      </c>
      <c r="E6" s="21">
        <v>328902</v>
      </c>
      <c r="F6" s="22">
        <v>9.02</v>
      </c>
      <c r="G6" s="21">
        <v>26298</v>
      </c>
      <c r="H6" s="30">
        <f t="shared" si="0"/>
        <v>1397</v>
      </c>
      <c r="I6" s="31">
        <f t="shared" si="1"/>
        <v>4.247465810484582E-3</v>
      </c>
    </row>
    <row r="7" spans="1:9" x14ac:dyDescent="0.3">
      <c r="A7" s="12">
        <v>45453</v>
      </c>
      <c r="B7" s="25" t="s">
        <v>28</v>
      </c>
      <c r="C7" s="26">
        <v>545</v>
      </c>
      <c r="D7" s="26">
        <v>93</v>
      </c>
      <c r="E7" s="26">
        <v>391621</v>
      </c>
      <c r="F7" s="27">
        <v>9.9600000000000009</v>
      </c>
      <c r="G7" s="26">
        <v>22029</v>
      </c>
      <c r="H7" s="28">
        <f t="shared" si="0"/>
        <v>452</v>
      </c>
      <c r="I7" s="29">
        <f t="shared" si="1"/>
        <v>1.1541771253329111E-3</v>
      </c>
    </row>
    <row r="8" spans="1:9" x14ac:dyDescent="0.3">
      <c r="A8" s="11">
        <v>45460</v>
      </c>
      <c r="B8" s="20" t="s">
        <v>13</v>
      </c>
      <c r="C8" s="21">
        <v>881</v>
      </c>
      <c r="D8" s="21">
        <v>291</v>
      </c>
      <c r="E8" s="21">
        <v>95885</v>
      </c>
      <c r="F8" s="22">
        <v>5.29</v>
      </c>
      <c r="G8" s="21">
        <v>12391</v>
      </c>
      <c r="H8" s="30">
        <f t="shared" si="0"/>
        <v>590</v>
      </c>
      <c r="I8" s="31">
        <f t="shared" si="1"/>
        <v>6.1532043593888509E-3</v>
      </c>
    </row>
    <row r="9" spans="1:9" x14ac:dyDescent="0.3">
      <c r="A9" s="12">
        <v>45460</v>
      </c>
      <c r="B9" s="25" t="s">
        <v>22</v>
      </c>
      <c r="C9" s="26">
        <v>1414</v>
      </c>
      <c r="D9" s="26">
        <v>131</v>
      </c>
      <c r="E9" s="26">
        <v>245947</v>
      </c>
      <c r="F9" s="27">
        <v>8.3000000000000007</v>
      </c>
      <c r="G9" s="26">
        <v>14477</v>
      </c>
      <c r="H9" s="28">
        <f t="shared" si="0"/>
        <v>1283</v>
      </c>
      <c r="I9" s="29">
        <f t="shared" si="1"/>
        <v>5.2165710498603361E-3</v>
      </c>
    </row>
    <row r="10" spans="1:9" x14ac:dyDescent="0.3">
      <c r="A10" s="11">
        <v>45460</v>
      </c>
      <c r="B10" s="20" t="s">
        <v>28</v>
      </c>
      <c r="C10" s="21">
        <v>1472</v>
      </c>
      <c r="D10" s="21">
        <v>170</v>
      </c>
      <c r="E10" s="21">
        <v>250428</v>
      </c>
      <c r="F10" s="22">
        <v>4.66</v>
      </c>
      <c r="G10" s="21">
        <v>25040</v>
      </c>
      <c r="H10" s="30">
        <f t="shared" si="0"/>
        <v>1302</v>
      </c>
      <c r="I10" s="31">
        <f t="shared" si="1"/>
        <v>5.1990991422684362E-3</v>
      </c>
    </row>
    <row r="11" spans="1:9" x14ac:dyDescent="0.3">
      <c r="A11" s="12">
        <v>45467</v>
      </c>
      <c r="B11" s="25" t="s">
        <v>13</v>
      </c>
      <c r="C11" s="26">
        <v>809</v>
      </c>
      <c r="D11" s="26">
        <v>197</v>
      </c>
      <c r="E11" s="26">
        <v>87186</v>
      </c>
      <c r="F11" s="27">
        <v>9.48</v>
      </c>
      <c r="G11" s="26">
        <v>22619</v>
      </c>
      <c r="H11" s="28">
        <f t="shared" si="0"/>
        <v>612</v>
      </c>
      <c r="I11" s="29">
        <f t="shared" si="1"/>
        <v>7.0194756038813571E-3</v>
      </c>
    </row>
    <row r="12" spans="1:9" x14ac:dyDescent="0.3">
      <c r="A12" s="11">
        <v>45467</v>
      </c>
      <c r="B12" s="20" t="s">
        <v>22</v>
      </c>
      <c r="C12" s="21">
        <v>1371</v>
      </c>
      <c r="D12" s="21">
        <v>250</v>
      </c>
      <c r="E12" s="21">
        <v>128620</v>
      </c>
      <c r="F12" s="22">
        <v>7.11</v>
      </c>
      <c r="G12" s="21">
        <v>12399</v>
      </c>
      <c r="H12" s="30">
        <f t="shared" si="0"/>
        <v>1121</v>
      </c>
      <c r="I12" s="31">
        <f t="shared" si="1"/>
        <v>8.7155963302752298E-3</v>
      </c>
    </row>
    <row r="13" spans="1:9" x14ac:dyDescent="0.3">
      <c r="A13" s="12">
        <v>45467</v>
      </c>
      <c r="B13" s="25" t="s">
        <v>28</v>
      </c>
      <c r="C13" s="26">
        <v>844</v>
      </c>
      <c r="D13" s="26">
        <v>144</v>
      </c>
      <c r="E13" s="26">
        <v>126015</v>
      </c>
      <c r="F13" s="27">
        <v>9.65</v>
      </c>
      <c r="G13" s="26">
        <v>22456</v>
      </c>
      <c r="H13" s="28">
        <f t="shared" si="0"/>
        <v>700</v>
      </c>
      <c r="I13" s="29">
        <f t="shared" si="1"/>
        <v>5.5548942586200059E-3</v>
      </c>
    </row>
    <row r="14" spans="1:9" x14ac:dyDescent="0.3">
      <c r="A14" s="11">
        <v>45474</v>
      </c>
      <c r="B14" s="20" t="s">
        <v>13</v>
      </c>
      <c r="C14" s="21">
        <v>786</v>
      </c>
      <c r="D14" s="21">
        <v>72</v>
      </c>
      <c r="E14" s="21">
        <v>178615</v>
      </c>
      <c r="F14" s="22">
        <v>5.43</v>
      </c>
      <c r="G14" s="21">
        <v>19328</v>
      </c>
      <c r="H14" s="30">
        <f t="shared" si="0"/>
        <v>714</v>
      </c>
      <c r="I14" s="31">
        <f t="shared" si="1"/>
        <v>3.9974246283906723E-3</v>
      </c>
    </row>
    <row r="15" spans="1:9" x14ac:dyDescent="0.3">
      <c r="A15" s="12">
        <v>45474</v>
      </c>
      <c r="B15" s="25" t="s">
        <v>22</v>
      </c>
      <c r="C15" s="26">
        <v>845</v>
      </c>
      <c r="D15" s="26">
        <v>250</v>
      </c>
      <c r="E15" s="26">
        <v>218228</v>
      </c>
      <c r="F15" s="27">
        <v>4.5199999999999996</v>
      </c>
      <c r="G15" s="26">
        <v>21107</v>
      </c>
      <c r="H15" s="28">
        <f t="shared" si="0"/>
        <v>595</v>
      </c>
      <c r="I15" s="29">
        <f t="shared" si="1"/>
        <v>2.7265062228494967E-3</v>
      </c>
    </row>
    <row r="16" spans="1:9" x14ac:dyDescent="0.3">
      <c r="A16" s="11">
        <v>45474</v>
      </c>
      <c r="B16" s="20" t="s">
        <v>28</v>
      </c>
      <c r="C16" s="21">
        <v>1218</v>
      </c>
      <c r="D16" s="21">
        <v>101</v>
      </c>
      <c r="E16" s="21">
        <v>300397</v>
      </c>
      <c r="F16" s="22">
        <v>4.33</v>
      </c>
      <c r="G16" s="21">
        <v>12277</v>
      </c>
      <c r="H16" s="30">
        <f t="shared" si="0"/>
        <v>1117</v>
      </c>
      <c r="I16" s="31">
        <f t="shared" si="1"/>
        <v>3.7184126339477423E-3</v>
      </c>
    </row>
    <row r="17" spans="1:9" x14ac:dyDescent="0.3">
      <c r="A17" s="12">
        <v>45481</v>
      </c>
      <c r="B17" s="25" t="s">
        <v>13</v>
      </c>
      <c r="C17" s="26">
        <v>797</v>
      </c>
      <c r="D17" s="26">
        <v>130</v>
      </c>
      <c r="E17" s="26">
        <v>340121</v>
      </c>
      <c r="F17" s="27">
        <v>8.52</v>
      </c>
      <c r="G17" s="26">
        <v>11684</v>
      </c>
      <c r="H17" s="28">
        <f t="shared" si="0"/>
        <v>667</v>
      </c>
      <c r="I17" s="29">
        <f t="shared" si="1"/>
        <v>1.9610667968164271E-3</v>
      </c>
    </row>
    <row r="18" spans="1:9" x14ac:dyDescent="0.3">
      <c r="A18" s="11">
        <v>45481</v>
      </c>
      <c r="B18" s="20" t="s">
        <v>22</v>
      </c>
      <c r="C18" s="21">
        <v>1471</v>
      </c>
      <c r="D18" s="21">
        <v>100</v>
      </c>
      <c r="E18" s="21">
        <v>76866</v>
      </c>
      <c r="F18" s="22">
        <v>8.5500000000000007</v>
      </c>
      <c r="G18" s="21">
        <v>14412</v>
      </c>
      <c r="H18" s="30">
        <f t="shared" si="0"/>
        <v>1371</v>
      </c>
      <c r="I18" s="31">
        <f t="shared" si="1"/>
        <v>1.7836234485988603E-2</v>
      </c>
    </row>
    <row r="19" spans="1:9" x14ac:dyDescent="0.3">
      <c r="A19" s="12">
        <v>45481</v>
      </c>
      <c r="B19" s="25" t="s">
        <v>28</v>
      </c>
      <c r="C19" s="26">
        <v>1253</v>
      </c>
      <c r="D19" s="26">
        <v>136</v>
      </c>
      <c r="E19" s="26">
        <v>193131</v>
      </c>
      <c r="F19" s="27">
        <v>7.99</v>
      </c>
      <c r="G19" s="26">
        <v>15924</v>
      </c>
      <c r="H19" s="28">
        <f t="shared" si="0"/>
        <v>1117</v>
      </c>
      <c r="I19" s="29">
        <f t="shared" si="1"/>
        <v>5.7836390843520723E-3</v>
      </c>
    </row>
    <row r="20" spans="1:9" x14ac:dyDescent="0.3">
      <c r="A20" s="11">
        <v>45488</v>
      </c>
      <c r="B20" s="20" t="s">
        <v>13</v>
      </c>
      <c r="C20" s="21">
        <v>616</v>
      </c>
      <c r="D20" s="21">
        <v>257</v>
      </c>
      <c r="E20" s="21">
        <v>169665</v>
      </c>
      <c r="F20" s="22">
        <v>6.31</v>
      </c>
      <c r="G20" s="21">
        <v>12390</v>
      </c>
      <c r="H20" s="30">
        <f t="shared" si="0"/>
        <v>359</v>
      </c>
      <c r="I20" s="31">
        <f t="shared" si="1"/>
        <v>2.1159343412017798E-3</v>
      </c>
    </row>
    <row r="21" spans="1:9" x14ac:dyDescent="0.3">
      <c r="A21" s="12">
        <v>45488</v>
      </c>
      <c r="B21" s="25" t="s">
        <v>22</v>
      </c>
      <c r="C21" s="26">
        <v>1308</v>
      </c>
      <c r="D21" s="26">
        <v>210</v>
      </c>
      <c r="E21" s="26">
        <v>263729</v>
      </c>
      <c r="F21" s="27">
        <v>8.5299999999999994</v>
      </c>
      <c r="G21" s="26">
        <v>25742</v>
      </c>
      <c r="H21" s="28">
        <f t="shared" si="0"/>
        <v>1098</v>
      </c>
      <c r="I21" s="29">
        <f t="shared" si="1"/>
        <v>4.1633646660018432E-3</v>
      </c>
    </row>
    <row r="22" spans="1:9" x14ac:dyDescent="0.3">
      <c r="A22" s="11">
        <v>45488</v>
      </c>
      <c r="B22" s="20" t="s">
        <v>28</v>
      </c>
      <c r="C22" s="21">
        <v>981</v>
      </c>
      <c r="D22" s="21">
        <v>69</v>
      </c>
      <c r="E22" s="21">
        <v>206921</v>
      </c>
      <c r="F22" s="22">
        <v>8.42</v>
      </c>
      <c r="G22" s="21">
        <v>10495</v>
      </c>
      <c r="H22" s="30">
        <f t="shared" si="0"/>
        <v>912</v>
      </c>
      <c r="I22" s="31">
        <f t="shared" si="1"/>
        <v>4.4074791828765565E-3</v>
      </c>
    </row>
    <row r="23" spans="1:9" x14ac:dyDescent="0.3">
      <c r="A23" s="12">
        <v>45495</v>
      </c>
      <c r="B23" s="25" t="s">
        <v>13</v>
      </c>
      <c r="C23" s="26">
        <v>866</v>
      </c>
      <c r="D23" s="26">
        <v>74</v>
      </c>
      <c r="E23" s="26">
        <v>204121</v>
      </c>
      <c r="F23" s="27">
        <v>9.34</v>
      </c>
      <c r="G23" s="26">
        <v>7797</v>
      </c>
      <c r="H23" s="28">
        <f t="shared" si="0"/>
        <v>792</v>
      </c>
      <c r="I23" s="29">
        <f t="shared" si="1"/>
        <v>3.8800515380583087E-3</v>
      </c>
    </row>
    <row r="24" spans="1:9" x14ac:dyDescent="0.3">
      <c r="A24" s="11">
        <v>45495</v>
      </c>
      <c r="B24" s="20" t="s">
        <v>22</v>
      </c>
      <c r="C24" s="21">
        <v>547</v>
      </c>
      <c r="D24" s="21">
        <v>183</v>
      </c>
      <c r="E24" s="21">
        <v>266350</v>
      </c>
      <c r="F24" s="22">
        <v>5.65</v>
      </c>
      <c r="G24" s="21">
        <v>15595</v>
      </c>
      <c r="H24" s="30">
        <f t="shared" si="0"/>
        <v>364</v>
      </c>
      <c r="I24" s="31">
        <f t="shared" si="1"/>
        <v>1.3666228646517741E-3</v>
      </c>
    </row>
    <row r="25" spans="1:9" x14ac:dyDescent="0.3">
      <c r="A25" s="12">
        <v>45495</v>
      </c>
      <c r="B25" s="25" t="s">
        <v>28</v>
      </c>
      <c r="C25" s="26">
        <v>1241</v>
      </c>
      <c r="D25" s="26">
        <v>116</v>
      </c>
      <c r="E25" s="26">
        <v>380606</v>
      </c>
      <c r="F25" s="27">
        <v>4.2</v>
      </c>
      <c r="G25" s="26">
        <v>24617</v>
      </c>
      <c r="H25" s="28">
        <f t="shared" si="0"/>
        <v>1125</v>
      </c>
      <c r="I25" s="29">
        <f t="shared" si="1"/>
        <v>2.9558125725816196E-3</v>
      </c>
    </row>
    <row r="26" spans="1:9" x14ac:dyDescent="0.3">
      <c r="A26" s="11">
        <v>45502</v>
      </c>
      <c r="B26" s="20" t="s">
        <v>13</v>
      </c>
      <c r="C26" s="21">
        <v>973</v>
      </c>
      <c r="D26" s="21">
        <v>104</v>
      </c>
      <c r="E26" s="21">
        <v>376358</v>
      </c>
      <c r="F26" s="22">
        <v>3.87</v>
      </c>
      <c r="G26" s="21">
        <v>9847</v>
      </c>
      <c r="H26" s="30">
        <f t="shared" si="0"/>
        <v>869</v>
      </c>
      <c r="I26" s="31">
        <f t="shared" si="1"/>
        <v>2.3089717768720206E-3</v>
      </c>
    </row>
    <row r="27" spans="1:9" x14ac:dyDescent="0.3">
      <c r="A27" s="12">
        <v>45502</v>
      </c>
      <c r="B27" s="25" t="s">
        <v>22</v>
      </c>
      <c r="C27" s="26">
        <v>611</v>
      </c>
      <c r="D27" s="26">
        <v>197</v>
      </c>
      <c r="E27" s="26">
        <v>79423</v>
      </c>
      <c r="F27" s="27">
        <v>5.82</v>
      </c>
      <c r="G27" s="26">
        <v>13644</v>
      </c>
      <c r="H27" s="28">
        <f t="shared" si="0"/>
        <v>414</v>
      </c>
      <c r="I27" s="29">
        <f t="shared" si="1"/>
        <v>5.2125958475504573E-3</v>
      </c>
    </row>
    <row r="28" spans="1:9" x14ac:dyDescent="0.3">
      <c r="A28" s="11">
        <v>45502</v>
      </c>
      <c r="B28" s="20" t="s">
        <v>28</v>
      </c>
      <c r="C28" s="21">
        <v>983</v>
      </c>
      <c r="D28" s="21">
        <v>134</v>
      </c>
      <c r="E28" s="21">
        <v>352178</v>
      </c>
      <c r="F28" s="22">
        <v>3.55</v>
      </c>
      <c r="G28" s="21">
        <v>11421</v>
      </c>
      <c r="H28" s="30">
        <f t="shared" si="0"/>
        <v>849</v>
      </c>
      <c r="I28" s="31">
        <f t="shared" si="1"/>
        <v>2.4107127645679174E-3</v>
      </c>
    </row>
    <row r="29" spans="1:9" x14ac:dyDescent="0.3">
      <c r="A29" s="12">
        <v>45509</v>
      </c>
      <c r="B29" s="25" t="s">
        <v>13</v>
      </c>
      <c r="C29" s="26">
        <v>1449</v>
      </c>
      <c r="D29" s="26">
        <v>96</v>
      </c>
      <c r="E29" s="26">
        <v>200636</v>
      </c>
      <c r="F29" s="27">
        <v>9.92</v>
      </c>
      <c r="G29" s="26">
        <v>15613</v>
      </c>
      <c r="H29" s="28">
        <f t="shared" si="0"/>
        <v>1353</v>
      </c>
      <c r="I29" s="29">
        <f t="shared" si="1"/>
        <v>6.7435554935305723E-3</v>
      </c>
    </row>
    <row r="30" spans="1:9" x14ac:dyDescent="0.3">
      <c r="A30" s="11">
        <v>45509</v>
      </c>
      <c r="B30" s="20" t="s">
        <v>22</v>
      </c>
      <c r="C30" s="21">
        <v>752</v>
      </c>
      <c r="D30" s="21">
        <v>170</v>
      </c>
      <c r="E30" s="21">
        <v>132756</v>
      </c>
      <c r="F30" s="22">
        <v>8.17</v>
      </c>
      <c r="G30" s="21">
        <v>23900</v>
      </c>
      <c r="H30" s="30">
        <f t="shared" si="0"/>
        <v>582</v>
      </c>
      <c r="I30" s="31">
        <f t="shared" si="1"/>
        <v>4.3839826448522105E-3</v>
      </c>
    </row>
    <row r="31" spans="1:9" x14ac:dyDescent="0.3">
      <c r="A31" s="12">
        <v>45509</v>
      </c>
      <c r="B31" s="25" t="s">
        <v>28</v>
      </c>
      <c r="C31" s="26">
        <v>937</v>
      </c>
      <c r="D31" s="26">
        <v>179</v>
      </c>
      <c r="E31" s="26">
        <v>318098</v>
      </c>
      <c r="F31" s="27">
        <v>5.3</v>
      </c>
      <c r="G31" s="26">
        <v>5836</v>
      </c>
      <c r="H31" s="28">
        <f t="shared" si="0"/>
        <v>758</v>
      </c>
      <c r="I31" s="29">
        <f t="shared" si="1"/>
        <v>2.3829134417695176E-3</v>
      </c>
    </row>
    <row r="32" spans="1:9" x14ac:dyDescent="0.3">
      <c r="A32" s="11">
        <v>45516</v>
      </c>
      <c r="B32" s="20" t="s">
        <v>13</v>
      </c>
      <c r="C32" s="21">
        <v>1060</v>
      </c>
      <c r="D32" s="21">
        <v>83</v>
      </c>
      <c r="E32" s="21">
        <v>68724</v>
      </c>
      <c r="F32" s="22">
        <v>5.98</v>
      </c>
      <c r="G32" s="21">
        <v>5624</v>
      </c>
      <c r="H32" s="30">
        <f t="shared" si="0"/>
        <v>977</v>
      </c>
      <c r="I32" s="31">
        <f t="shared" si="1"/>
        <v>1.4216285431581398E-2</v>
      </c>
    </row>
    <row r="33" spans="1:9" x14ac:dyDescent="0.3">
      <c r="A33" s="12">
        <v>45516</v>
      </c>
      <c r="B33" s="25" t="s">
        <v>22</v>
      </c>
      <c r="C33" s="26">
        <v>1456</v>
      </c>
      <c r="D33" s="26">
        <v>265</v>
      </c>
      <c r="E33" s="26">
        <v>115505</v>
      </c>
      <c r="F33" s="27">
        <v>7.49</v>
      </c>
      <c r="G33" s="26">
        <v>10311</v>
      </c>
      <c r="H33" s="28">
        <f t="shared" si="0"/>
        <v>1191</v>
      </c>
      <c r="I33" s="29">
        <f t="shared" si="1"/>
        <v>1.031124193757846E-2</v>
      </c>
    </row>
    <row r="34" spans="1:9" x14ac:dyDescent="0.3">
      <c r="A34" s="11">
        <v>45516</v>
      </c>
      <c r="B34" s="20" t="s">
        <v>28</v>
      </c>
      <c r="C34" s="21">
        <v>1109</v>
      </c>
      <c r="D34" s="21">
        <v>205</v>
      </c>
      <c r="E34" s="21">
        <v>276722</v>
      </c>
      <c r="F34" s="22">
        <v>9.3800000000000008</v>
      </c>
      <c r="G34" s="21">
        <v>8274</v>
      </c>
      <c r="H34" s="30">
        <f t="shared" si="0"/>
        <v>904</v>
      </c>
      <c r="I34" s="31">
        <f t="shared" si="1"/>
        <v>3.2668165162148292E-3</v>
      </c>
    </row>
    <row r="35" spans="1:9" x14ac:dyDescent="0.3">
      <c r="A35" s="12">
        <v>45523</v>
      </c>
      <c r="B35" s="25" t="s">
        <v>13</v>
      </c>
      <c r="C35" s="26">
        <v>1002</v>
      </c>
      <c r="D35" s="26">
        <v>93</v>
      </c>
      <c r="E35" s="26">
        <v>353538</v>
      </c>
      <c r="F35" s="27">
        <v>5.84</v>
      </c>
      <c r="G35" s="26">
        <v>6031</v>
      </c>
      <c r="H35" s="28">
        <f t="shared" si="0"/>
        <v>909</v>
      </c>
      <c r="I35" s="29">
        <f t="shared" si="1"/>
        <v>2.5711521816608116E-3</v>
      </c>
    </row>
    <row r="36" spans="1:9" x14ac:dyDescent="0.3">
      <c r="A36" s="11">
        <v>45523</v>
      </c>
      <c r="B36" s="20" t="s">
        <v>22</v>
      </c>
      <c r="C36" s="21">
        <v>571</v>
      </c>
      <c r="D36" s="21">
        <v>189</v>
      </c>
      <c r="E36" s="21">
        <v>61445</v>
      </c>
      <c r="F36" s="22">
        <v>5.41</v>
      </c>
      <c r="G36" s="21">
        <v>27829</v>
      </c>
      <c r="H36" s="30">
        <f t="shared" si="0"/>
        <v>382</v>
      </c>
      <c r="I36" s="31">
        <f t="shared" si="1"/>
        <v>6.2169419806330862E-3</v>
      </c>
    </row>
    <row r="37" spans="1:9" x14ac:dyDescent="0.3">
      <c r="A37" s="12">
        <v>45523</v>
      </c>
      <c r="B37" s="25" t="s">
        <v>28</v>
      </c>
      <c r="C37" s="26">
        <v>1240</v>
      </c>
      <c r="D37" s="26">
        <v>231</v>
      </c>
      <c r="E37" s="26">
        <v>165035</v>
      </c>
      <c r="F37" s="27">
        <v>6.05</v>
      </c>
      <c r="G37" s="26">
        <v>18267</v>
      </c>
      <c r="H37" s="28">
        <f t="shared" si="0"/>
        <v>1009</v>
      </c>
      <c r="I37" s="29">
        <f t="shared" si="1"/>
        <v>6.1138546368952043E-3</v>
      </c>
    </row>
    <row r="38" spans="1:9" x14ac:dyDescent="0.3">
      <c r="A38" s="11">
        <v>45530</v>
      </c>
      <c r="B38" s="20" t="s">
        <v>13</v>
      </c>
      <c r="C38" s="21">
        <v>1154</v>
      </c>
      <c r="D38" s="21">
        <v>132</v>
      </c>
      <c r="E38" s="21">
        <v>194595</v>
      </c>
      <c r="F38" s="22">
        <v>7.54</v>
      </c>
      <c r="G38" s="21">
        <v>26624</v>
      </c>
      <c r="H38" s="30">
        <f t="shared" si="0"/>
        <v>1022</v>
      </c>
      <c r="I38" s="31">
        <f t="shared" si="1"/>
        <v>5.2519335029163131E-3</v>
      </c>
    </row>
    <row r="39" spans="1:9" x14ac:dyDescent="0.3">
      <c r="A39" s="12">
        <v>45530</v>
      </c>
      <c r="B39" s="25" t="s">
        <v>22</v>
      </c>
      <c r="C39" s="26">
        <v>537</v>
      </c>
      <c r="D39" s="26">
        <v>275</v>
      </c>
      <c r="E39" s="26">
        <v>236238</v>
      </c>
      <c r="F39" s="27">
        <v>5.87</v>
      </c>
      <c r="G39" s="26">
        <v>26644</v>
      </c>
      <c r="H39" s="28">
        <f t="shared" si="0"/>
        <v>262</v>
      </c>
      <c r="I39" s="29">
        <f t="shared" si="1"/>
        <v>1.1090510417460359E-3</v>
      </c>
    </row>
    <row r="40" spans="1:9" x14ac:dyDescent="0.3">
      <c r="A40" s="11">
        <v>45530</v>
      </c>
      <c r="B40" s="20" t="s">
        <v>28</v>
      </c>
      <c r="C40" s="21">
        <v>1456</v>
      </c>
      <c r="D40" s="21">
        <v>290</v>
      </c>
      <c r="E40" s="21">
        <v>271044</v>
      </c>
      <c r="F40" s="22">
        <v>7.17</v>
      </c>
      <c r="G40" s="21">
        <v>13051</v>
      </c>
      <c r="H40" s="30">
        <f t="shared" si="0"/>
        <v>1166</v>
      </c>
      <c r="I40" s="31">
        <f t="shared" si="1"/>
        <v>4.3018845648676966E-3</v>
      </c>
    </row>
    <row r="41" spans="1:9" x14ac:dyDescent="0.3">
      <c r="A41" s="12">
        <v>45537</v>
      </c>
      <c r="B41" s="25" t="s">
        <v>13</v>
      </c>
      <c r="C41" s="26">
        <v>721</v>
      </c>
      <c r="D41" s="26">
        <v>206</v>
      </c>
      <c r="E41" s="26">
        <v>334887</v>
      </c>
      <c r="F41" s="27">
        <v>6.05</v>
      </c>
      <c r="G41" s="26">
        <v>14217</v>
      </c>
      <c r="H41" s="28">
        <f t="shared" si="0"/>
        <v>515</v>
      </c>
      <c r="I41" s="29">
        <f t="shared" si="1"/>
        <v>1.5378321642822803E-3</v>
      </c>
    </row>
    <row r="42" spans="1:9" x14ac:dyDescent="0.3">
      <c r="A42" s="11">
        <v>45537</v>
      </c>
      <c r="B42" s="20" t="s">
        <v>22</v>
      </c>
      <c r="C42" s="21">
        <v>1098</v>
      </c>
      <c r="D42" s="21">
        <v>142</v>
      </c>
      <c r="E42" s="21">
        <v>359150</v>
      </c>
      <c r="F42" s="22">
        <v>7.51</v>
      </c>
      <c r="G42" s="21">
        <v>16385</v>
      </c>
      <c r="H42" s="30">
        <f t="shared" si="0"/>
        <v>956</v>
      </c>
      <c r="I42" s="31">
        <f t="shared" si="1"/>
        <v>2.6618404566337186E-3</v>
      </c>
    </row>
    <row r="43" spans="1:9" x14ac:dyDescent="0.3">
      <c r="A43" s="12">
        <v>45537</v>
      </c>
      <c r="B43" s="25" t="s">
        <v>28</v>
      </c>
      <c r="C43" s="26">
        <v>1096</v>
      </c>
      <c r="D43" s="26">
        <v>65</v>
      </c>
      <c r="E43" s="26">
        <v>358295</v>
      </c>
      <c r="F43" s="27">
        <v>7.66</v>
      </c>
      <c r="G43" s="26">
        <v>24548</v>
      </c>
      <c r="H43" s="28">
        <f t="shared" si="0"/>
        <v>1031</v>
      </c>
      <c r="I43" s="29">
        <f t="shared" si="1"/>
        <v>2.8775171297394605E-3</v>
      </c>
    </row>
    <row r="44" spans="1:9" x14ac:dyDescent="0.3">
      <c r="A44" s="11">
        <v>45544</v>
      </c>
      <c r="B44" s="20" t="s">
        <v>13</v>
      </c>
      <c r="C44" s="21">
        <v>912</v>
      </c>
      <c r="D44" s="21">
        <v>275</v>
      </c>
      <c r="E44" s="21">
        <v>368454</v>
      </c>
      <c r="F44" s="22">
        <v>6.03</v>
      </c>
      <c r="G44" s="21">
        <v>9195</v>
      </c>
      <c r="H44" s="30">
        <f t="shared" si="0"/>
        <v>637</v>
      </c>
      <c r="I44" s="31">
        <f t="shared" si="1"/>
        <v>1.7288453918263881E-3</v>
      </c>
    </row>
    <row r="45" spans="1:9" x14ac:dyDescent="0.3">
      <c r="A45" s="12">
        <v>45544</v>
      </c>
      <c r="B45" s="25" t="s">
        <v>22</v>
      </c>
      <c r="C45" s="26">
        <v>1430</v>
      </c>
      <c r="D45" s="26">
        <v>162</v>
      </c>
      <c r="E45" s="26">
        <v>269082</v>
      </c>
      <c r="F45" s="27">
        <v>3.4</v>
      </c>
      <c r="G45" s="26">
        <v>18071</v>
      </c>
      <c r="H45" s="28">
        <f t="shared" si="0"/>
        <v>1268</v>
      </c>
      <c r="I45" s="29">
        <f t="shared" si="1"/>
        <v>4.7123181781018424E-3</v>
      </c>
    </row>
    <row r="46" spans="1:9" x14ac:dyDescent="0.3">
      <c r="A46" s="11">
        <v>45544</v>
      </c>
      <c r="B46" s="20" t="s">
        <v>28</v>
      </c>
      <c r="C46" s="21">
        <v>854</v>
      </c>
      <c r="D46" s="21">
        <v>129</v>
      </c>
      <c r="E46" s="21">
        <v>310903</v>
      </c>
      <c r="F46" s="22">
        <v>7.83</v>
      </c>
      <c r="G46" s="21">
        <v>16875</v>
      </c>
      <c r="H46" s="30">
        <f t="shared" si="0"/>
        <v>725</v>
      </c>
      <c r="I46" s="31">
        <f t="shared" si="1"/>
        <v>2.3319170287838973E-3</v>
      </c>
    </row>
    <row r="47" spans="1:9" x14ac:dyDescent="0.3">
      <c r="A47" s="12">
        <v>45551</v>
      </c>
      <c r="B47" s="25" t="s">
        <v>13</v>
      </c>
      <c r="C47" s="26">
        <v>681</v>
      </c>
      <c r="D47" s="26">
        <v>210</v>
      </c>
      <c r="E47" s="26">
        <v>248581</v>
      </c>
      <c r="F47" s="27">
        <v>8.76</v>
      </c>
      <c r="G47" s="26">
        <v>9567</v>
      </c>
      <c r="H47" s="28">
        <f t="shared" si="0"/>
        <v>471</v>
      </c>
      <c r="I47" s="29">
        <f t="shared" si="1"/>
        <v>1.8947546272643525E-3</v>
      </c>
    </row>
    <row r="48" spans="1:9" x14ac:dyDescent="0.3">
      <c r="A48" s="11">
        <v>45551</v>
      </c>
      <c r="B48" s="20" t="s">
        <v>22</v>
      </c>
      <c r="C48" s="21">
        <v>1373</v>
      </c>
      <c r="D48" s="21">
        <v>82</v>
      </c>
      <c r="E48" s="21">
        <v>371015</v>
      </c>
      <c r="F48" s="22">
        <v>9.52</v>
      </c>
      <c r="G48" s="21">
        <v>20306</v>
      </c>
      <c r="H48" s="30">
        <f t="shared" si="0"/>
        <v>1291</v>
      </c>
      <c r="I48" s="31">
        <f t="shared" si="1"/>
        <v>3.4796436801746559E-3</v>
      </c>
    </row>
    <row r="49" spans="1:9" x14ac:dyDescent="0.3">
      <c r="A49" s="12">
        <v>45551</v>
      </c>
      <c r="B49" s="25" t="s">
        <v>28</v>
      </c>
      <c r="C49" s="26">
        <v>685</v>
      </c>
      <c r="D49" s="26">
        <v>285</v>
      </c>
      <c r="E49" s="26">
        <v>177452</v>
      </c>
      <c r="F49" s="27">
        <v>3.36</v>
      </c>
      <c r="G49" s="26">
        <v>21134</v>
      </c>
      <c r="H49" s="28">
        <f t="shared" si="0"/>
        <v>400</v>
      </c>
      <c r="I49" s="29">
        <f t="shared" si="1"/>
        <v>2.2541306944976669E-3</v>
      </c>
    </row>
    <row r="50" spans="1:9" x14ac:dyDescent="0.3">
      <c r="A50" s="11">
        <v>45558</v>
      </c>
      <c r="B50" s="20" t="s">
        <v>13</v>
      </c>
      <c r="C50" s="21">
        <v>1290</v>
      </c>
      <c r="D50" s="21">
        <v>177</v>
      </c>
      <c r="E50" s="21">
        <v>80745</v>
      </c>
      <c r="F50" s="22">
        <v>9.2200000000000006</v>
      </c>
      <c r="G50" s="21">
        <v>26872</v>
      </c>
      <c r="H50" s="30">
        <f t="shared" si="0"/>
        <v>1113</v>
      </c>
      <c r="I50" s="31">
        <f t="shared" si="1"/>
        <v>1.3784135240572171E-2</v>
      </c>
    </row>
    <row r="51" spans="1:9" x14ac:dyDescent="0.3">
      <c r="A51" s="12">
        <v>45558</v>
      </c>
      <c r="B51" s="25" t="s">
        <v>22</v>
      </c>
      <c r="C51" s="26">
        <v>1437</v>
      </c>
      <c r="D51" s="26">
        <v>239</v>
      </c>
      <c r="E51" s="26">
        <v>362441</v>
      </c>
      <c r="F51" s="27">
        <v>5.57</v>
      </c>
      <c r="G51" s="26">
        <v>10253</v>
      </c>
      <c r="H51" s="28">
        <f t="shared" si="0"/>
        <v>1198</v>
      </c>
      <c r="I51" s="29">
        <f t="shared" si="1"/>
        <v>3.305365562946797E-3</v>
      </c>
    </row>
    <row r="52" spans="1:9" x14ac:dyDescent="0.3">
      <c r="A52" s="11">
        <v>45558</v>
      </c>
      <c r="B52" s="20" t="s">
        <v>28</v>
      </c>
      <c r="C52" s="21">
        <v>769</v>
      </c>
      <c r="D52" s="21">
        <v>295</v>
      </c>
      <c r="E52" s="21">
        <v>344771</v>
      </c>
      <c r="F52" s="22">
        <v>8.06</v>
      </c>
      <c r="G52" s="21">
        <v>23963</v>
      </c>
      <c r="H52" s="30">
        <f t="shared" si="0"/>
        <v>474</v>
      </c>
      <c r="I52" s="31">
        <f t="shared" si="1"/>
        <v>1.3748256088824177E-3</v>
      </c>
    </row>
    <row r="53" spans="1:9" x14ac:dyDescent="0.3">
      <c r="A53" s="12">
        <v>45565</v>
      </c>
      <c r="B53" s="25" t="s">
        <v>13</v>
      </c>
      <c r="C53" s="26">
        <v>1416</v>
      </c>
      <c r="D53" s="26">
        <v>284</v>
      </c>
      <c r="E53" s="26">
        <v>374952</v>
      </c>
      <c r="F53" s="27">
        <v>3.45</v>
      </c>
      <c r="G53" s="26">
        <v>11335</v>
      </c>
      <c r="H53" s="28">
        <f t="shared" si="0"/>
        <v>1132</v>
      </c>
      <c r="I53" s="29">
        <f t="shared" si="1"/>
        <v>3.0190531054641659E-3</v>
      </c>
    </row>
    <row r="54" spans="1:9" x14ac:dyDescent="0.3">
      <c r="A54" s="11">
        <v>45565</v>
      </c>
      <c r="B54" s="20" t="s">
        <v>22</v>
      </c>
      <c r="C54" s="21">
        <v>998</v>
      </c>
      <c r="D54" s="21">
        <v>154</v>
      </c>
      <c r="E54" s="21">
        <v>179781</v>
      </c>
      <c r="F54" s="22">
        <v>9.58</v>
      </c>
      <c r="G54" s="21">
        <v>12115</v>
      </c>
      <c r="H54" s="30">
        <f t="shared" si="0"/>
        <v>844</v>
      </c>
      <c r="I54" s="31">
        <f t="shared" si="1"/>
        <v>4.6946006530167259E-3</v>
      </c>
    </row>
    <row r="55" spans="1:9" x14ac:dyDescent="0.3">
      <c r="A55" s="12">
        <v>45565</v>
      </c>
      <c r="B55" s="25" t="s">
        <v>28</v>
      </c>
      <c r="C55" s="26">
        <v>1421</v>
      </c>
      <c r="D55" s="26">
        <v>246</v>
      </c>
      <c r="E55" s="26">
        <v>358581</v>
      </c>
      <c r="F55" s="27">
        <v>8.8800000000000008</v>
      </c>
      <c r="G55" s="26">
        <v>24358</v>
      </c>
      <c r="H55" s="28">
        <f t="shared" si="0"/>
        <v>1175</v>
      </c>
      <c r="I55" s="29">
        <f t="shared" si="1"/>
        <v>3.2768049617799048E-3</v>
      </c>
    </row>
    <row r="56" spans="1:9" x14ac:dyDescent="0.3">
      <c r="A56" s="11">
        <v>45572</v>
      </c>
      <c r="B56" s="20" t="s">
        <v>13</v>
      </c>
      <c r="C56" s="21">
        <v>764</v>
      </c>
      <c r="D56" s="21">
        <v>205</v>
      </c>
      <c r="E56" s="21">
        <v>319294</v>
      </c>
      <c r="F56" s="22">
        <v>6.23</v>
      </c>
      <c r="G56" s="21">
        <v>12181</v>
      </c>
      <c r="H56" s="30">
        <f t="shared" si="0"/>
        <v>559</v>
      </c>
      <c r="I56" s="31">
        <f t="shared" si="1"/>
        <v>1.7507375647522346E-3</v>
      </c>
    </row>
    <row r="57" spans="1:9" x14ac:dyDescent="0.3">
      <c r="A57" s="12">
        <v>45572</v>
      </c>
      <c r="B57" s="25" t="s">
        <v>22</v>
      </c>
      <c r="C57" s="26">
        <v>678</v>
      </c>
      <c r="D57" s="26">
        <v>124</v>
      </c>
      <c r="E57" s="26">
        <v>192022</v>
      </c>
      <c r="F57" s="27">
        <v>8.4499999999999993</v>
      </c>
      <c r="G57" s="26">
        <v>17729</v>
      </c>
      <c r="H57" s="28">
        <f t="shared" si="0"/>
        <v>554</v>
      </c>
      <c r="I57" s="29">
        <f t="shared" si="1"/>
        <v>2.8850860838862216E-3</v>
      </c>
    </row>
    <row r="58" spans="1:9" x14ac:dyDescent="0.3">
      <c r="A58" s="11">
        <v>45572</v>
      </c>
      <c r="B58" s="20" t="s">
        <v>28</v>
      </c>
      <c r="C58" s="21">
        <v>1328</v>
      </c>
      <c r="D58" s="21">
        <v>103</v>
      </c>
      <c r="E58" s="21">
        <v>151462</v>
      </c>
      <c r="F58" s="22">
        <v>8.4</v>
      </c>
      <c r="G58" s="21">
        <v>10881</v>
      </c>
      <c r="H58" s="30">
        <f t="shared" si="0"/>
        <v>1225</v>
      </c>
      <c r="I58" s="31">
        <f t="shared" si="1"/>
        <v>8.0878372132944243E-3</v>
      </c>
    </row>
    <row r="59" spans="1:9" x14ac:dyDescent="0.3">
      <c r="A59" s="12">
        <v>45579</v>
      </c>
      <c r="B59" s="25" t="s">
        <v>13</v>
      </c>
      <c r="C59" s="26">
        <v>1161</v>
      </c>
      <c r="D59" s="26">
        <v>269</v>
      </c>
      <c r="E59" s="26">
        <v>188193</v>
      </c>
      <c r="F59" s="27">
        <v>7.34</v>
      </c>
      <c r="G59" s="26">
        <v>18576</v>
      </c>
      <c r="H59" s="28">
        <f t="shared" si="0"/>
        <v>892</v>
      </c>
      <c r="I59" s="29">
        <f t="shared" si="1"/>
        <v>4.7398149771776844E-3</v>
      </c>
    </row>
    <row r="60" spans="1:9" x14ac:dyDescent="0.3">
      <c r="A60" s="11">
        <v>45579</v>
      </c>
      <c r="B60" s="20" t="s">
        <v>22</v>
      </c>
      <c r="C60" s="21">
        <v>588</v>
      </c>
      <c r="D60" s="21">
        <v>52</v>
      </c>
      <c r="E60" s="21">
        <v>292040</v>
      </c>
      <c r="F60" s="22">
        <v>8.14</v>
      </c>
      <c r="G60" s="21">
        <v>9383</v>
      </c>
      <c r="H60" s="30">
        <f t="shared" si="0"/>
        <v>536</v>
      </c>
      <c r="I60" s="31">
        <f t="shared" si="1"/>
        <v>1.8353650184906177E-3</v>
      </c>
    </row>
    <row r="61" spans="1:9" x14ac:dyDescent="0.3">
      <c r="A61" s="12">
        <v>45579</v>
      </c>
      <c r="B61" s="25" t="s">
        <v>28</v>
      </c>
      <c r="C61" s="26">
        <v>1457</v>
      </c>
      <c r="D61" s="26">
        <v>215</v>
      </c>
      <c r="E61" s="26">
        <v>325325</v>
      </c>
      <c r="F61" s="27">
        <v>9.58</v>
      </c>
      <c r="G61" s="26">
        <v>14178</v>
      </c>
      <c r="H61" s="28">
        <f t="shared" si="0"/>
        <v>1242</v>
      </c>
      <c r="I61" s="29">
        <f t="shared" si="1"/>
        <v>3.8177207407976638E-3</v>
      </c>
    </row>
    <row r="62" spans="1:9" x14ac:dyDescent="0.3">
      <c r="A62" s="11">
        <v>45586</v>
      </c>
      <c r="B62" s="20" t="s">
        <v>13</v>
      </c>
      <c r="C62" s="21">
        <v>1190</v>
      </c>
      <c r="D62" s="21">
        <v>242</v>
      </c>
      <c r="E62" s="21">
        <v>86849</v>
      </c>
      <c r="F62" s="22">
        <v>8.06</v>
      </c>
      <c r="G62" s="21">
        <v>21254</v>
      </c>
      <c r="H62" s="30">
        <f t="shared" si="0"/>
        <v>948</v>
      </c>
      <c r="I62" s="31">
        <f t="shared" si="1"/>
        <v>1.0915497012055407E-2</v>
      </c>
    </row>
    <row r="63" spans="1:9" x14ac:dyDescent="0.3">
      <c r="A63" s="12">
        <v>45586</v>
      </c>
      <c r="B63" s="25" t="s">
        <v>22</v>
      </c>
      <c r="C63" s="26">
        <v>886</v>
      </c>
      <c r="D63" s="26">
        <v>124</v>
      </c>
      <c r="E63" s="26">
        <v>141161</v>
      </c>
      <c r="F63" s="27">
        <v>8.19</v>
      </c>
      <c r="G63" s="26">
        <v>14215</v>
      </c>
      <c r="H63" s="28">
        <f t="shared" si="0"/>
        <v>762</v>
      </c>
      <c r="I63" s="29">
        <f t="shared" si="1"/>
        <v>5.3980915408646862E-3</v>
      </c>
    </row>
    <row r="64" spans="1:9" x14ac:dyDescent="0.3">
      <c r="A64" s="11">
        <v>45586</v>
      </c>
      <c r="B64" s="20" t="s">
        <v>28</v>
      </c>
      <c r="C64" s="21">
        <v>1237</v>
      </c>
      <c r="D64" s="21">
        <v>155</v>
      </c>
      <c r="E64" s="21">
        <v>149916</v>
      </c>
      <c r="F64" s="22">
        <v>4.4800000000000004</v>
      </c>
      <c r="G64" s="21">
        <v>16921</v>
      </c>
      <c r="H64" s="30">
        <f t="shared" si="0"/>
        <v>1082</v>
      </c>
      <c r="I64" s="31">
        <f t="shared" si="1"/>
        <v>7.2173750633688196E-3</v>
      </c>
    </row>
    <row r="65" spans="1:9" x14ac:dyDescent="0.3">
      <c r="A65" s="12">
        <v>45593</v>
      </c>
      <c r="B65" s="25" t="s">
        <v>13</v>
      </c>
      <c r="C65" s="26">
        <v>1435</v>
      </c>
      <c r="D65" s="26">
        <v>261</v>
      </c>
      <c r="E65" s="26">
        <v>308533</v>
      </c>
      <c r="F65" s="27">
        <v>4.5199999999999996</v>
      </c>
      <c r="G65" s="26">
        <v>25130</v>
      </c>
      <c r="H65" s="28">
        <f t="shared" si="0"/>
        <v>1174</v>
      </c>
      <c r="I65" s="29">
        <f t="shared" si="1"/>
        <v>3.8051035059458792E-3</v>
      </c>
    </row>
    <row r="66" spans="1:9" x14ac:dyDescent="0.3">
      <c r="A66" s="11">
        <v>45593</v>
      </c>
      <c r="B66" s="20" t="s">
        <v>22</v>
      </c>
      <c r="C66" s="21">
        <v>746</v>
      </c>
      <c r="D66" s="21">
        <v>282</v>
      </c>
      <c r="E66" s="21">
        <v>293894</v>
      </c>
      <c r="F66" s="22">
        <v>5.42</v>
      </c>
      <c r="G66" s="21">
        <v>25537</v>
      </c>
      <c r="H66" s="30">
        <f t="shared" si="0"/>
        <v>464</v>
      </c>
      <c r="I66" s="31">
        <f t="shared" si="1"/>
        <v>1.5788005199153436E-3</v>
      </c>
    </row>
    <row r="67" spans="1:9" x14ac:dyDescent="0.3">
      <c r="A67" s="12">
        <v>45593</v>
      </c>
      <c r="B67" s="25" t="s">
        <v>28</v>
      </c>
      <c r="C67" s="26">
        <v>759</v>
      </c>
      <c r="D67" s="26">
        <v>216</v>
      </c>
      <c r="E67" s="26">
        <v>147656</v>
      </c>
      <c r="F67" s="27">
        <v>4.08</v>
      </c>
      <c r="G67" s="26">
        <v>24943</v>
      </c>
      <c r="H67" s="28">
        <f t="shared" ref="H67:H94" si="2">C67-D67</f>
        <v>543</v>
      </c>
      <c r="I67" s="29">
        <f t="shared" ref="I67:I94" si="3">H67/E67</f>
        <v>3.6774665438586984E-3</v>
      </c>
    </row>
    <row r="68" spans="1:9" x14ac:dyDescent="0.3">
      <c r="A68" s="11">
        <v>45600</v>
      </c>
      <c r="B68" s="20" t="s">
        <v>13</v>
      </c>
      <c r="C68" s="21">
        <v>1437</v>
      </c>
      <c r="D68" s="21">
        <v>235</v>
      </c>
      <c r="E68" s="21">
        <v>326791</v>
      </c>
      <c r="F68" s="22">
        <v>4.0599999999999996</v>
      </c>
      <c r="G68" s="21">
        <v>14563</v>
      </c>
      <c r="H68" s="30">
        <f t="shared" si="2"/>
        <v>1202</v>
      </c>
      <c r="I68" s="31">
        <f t="shared" si="3"/>
        <v>3.6781918718691762E-3</v>
      </c>
    </row>
    <row r="69" spans="1:9" x14ac:dyDescent="0.3">
      <c r="A69" s="12">
        <v>45600</v>
      </c>
      <c r="B69" s="25" t="s">
        <v>22</v>
      </c>
      <c r="C69" s="26">
        <v>1463</v>
      </c>
      <c r="D69" s="26">
        <v>73</v>
      </c>
      <c r="E69" s="26">
        <v>348877</v>
      </c>
      <c r="F69" s="27">
        <v>9.91</v>
      </c>
      <c r="G69" s="26">
        <v>26273</v>
      </c>
      <c r="H69" s="28">
        <f t="shared" si="2"/>
        <v>1390</v>
      </c>
      <c r="I69" s="29">
        <f t="shared" si="3"/>
        <v>3.9842122008616216E-3</v>
      </c>
    </row>
    <row r="70" spans="1:9" x14ac:dyDescent="0.3">
      <c r="A70" s="11">
        <v>45600</v>
      </c>
      <c r="B70" s="20" t="s">
        <v>28</v>
      </c>
      <c r="C70" s="21">
        <v>1208</v>
      </c>
      <c r="D70" s="21">
        <v>224</v>
      </c>
      <c r="E70" s="21">
        <v>122730</v>
      </c>
      <c r="F70" s="22">
        <v>8.7200000000000006</v>
      </c>
      <c r="G70" s="21">
        <v>10858</v>
      </c>
      <c r="H70" s="30">
        <f t="shared" si="2"/>
        <v>984</v>
      </c>
      <c r="I70" s="31">
        <f t="shared" si="3"/>
        <v>8.0175996088975802E-3</v>
      </c>
    </row>
    <row r="71" spans="1:9" x14ac:dyDescent="0.3">
      <c r="A71" s="12">
        <v>45607</v>
      </c>
      <c r="B71" s="25" t="s">
        <v>13</v>
      </c>
      <c r="C71" s="26">
        <v>1391</v>
      </c>
      <c r="D71" s="26">
        <v>187</v>
      </c>
      <c r="E71" s="26">
        <v>306508</v>
      </c>
      <c r="F71" s="27">
        <v>8.3800000000000008</v>
      </c>
      <c r="G71" s="26">
        <v>25038</v>
      </c>
      <c r="H71" s="28">
        <f t="shared" si="2"/>
        <v>1204</v>
      </c>
      <c r="I71" s="29">
        <f t="shared" si="3"/>
        <v>3.9281193313061976E-3</v>
      </c>
    </row>
    <row r="72" spans="1:9" x14ac:dyDescent="0.3">
      <c r="A72" s="11">
        <v>45607</v>
      </c>
      <c r="B72" s="20" t="s">
        <v>22</v>
      </c>
      <c r="C72" s="21">
        <v>655</v>
      </c>
      <c r="D72" s="21">
        <v>123</v>
      </c>
      <c r="E72" s="21">
        <v>202472</v>
      </c>
      <c r="F72" s="22">
        <v>7.56</v>
      </c>
      <c r="G72" s="21">
        <v>9092</v>
      </c>
      <c r="H72" s="30">
        <f t="shared" si="2"/>
        <v>532</v>
      </c>
      <c r="I72" s="31">
        <f t="shared" si="3"/>
        <v>2.6275238057607967E-3</v>
      </c>
    </row>
    <row r="73" spans="1:9" x14ac:dyDescent="0.3">
      <c r="A73" s="12">
        <v>45607</v>
      </c>
      <c r="B73" s="25" t="s">
        <v>28</v>
      </c>
      <c r="C73" s="26">
        <v>1148</v>
      </c>
      <c r="D73" s="26">
        <v>90</v>
      </c>
      <c r="E73" s="26">
        <v>227249</v>
      </c>
      <c r="F73" s="27">
        <v>7.24</v>
      </c>
      <c r="G73" s="26">
        <v>17662</v>
      </c>
      <c r="H73" s="28">
        <f t="shared" si="2"/>
        <v>1058</v>
      </c>
      <c r="I73" s="29">
        <f t="shared" si="3"/>
        <v>4.6556860536239985E-3</v>
      </c>
    </row>
    <row r="74" spans="1:9" x14ac:dyDescent="0.3">
      <c r="A74" s="11">
        <v>45614</v>
      </c>
      <c r="B74" s="20" t="s">
        <v>13</v>
      </c>
      <c r="C74" s="21">
        <v>946</v>
      </c>
      <c r="D74" s="21">
        <v>270</v>
      </c>
      <c r="E74" s="21">
        <v>246567</v>
      </c>
      <c r="F74" s="22">
        <v>4.53</v>
      </c>
      <c r="G74" s="21">
        <v>5924</v>
      </c>
      <c r="H74" s="30">
        <f t="shared" si="2"/>
        <v>676</v>
      </c>
      <c r="I74" s="31">
        <f t="shared" si="3"/>
        <v>2.741648314656868E-3</v>
      </c>
    </row>
    <row r="75" spans="1:9" x14ac:dyDescent="0.3">
      <c r="A75" s="12">
        <v>45614</v>
      </c>
      <c r="B75" s="25" t="s">
        <v>22</v>
      </c>
      <c r="C75" s="26">
        <v>791</v>
      </c>
      <c r="D75" s="26">
        <v>214</v>
      </c>
      <c r="E75" s="26">
        <v>114738</v>
      </c>
      <c r="F75" s="27">
        <v>6.62</v>
      </c>
      <c r="G75" s="26">
        <v>25347</v>
      </c>
      <c r="H75" s="28">
        <f t="shared" si="2"/>
        <v>577</v>
      </c>
      <c r="I75" s="29">
        <f t="shared" si="3"/>
        <v>5.0288483327232481E-3</v>
      </c>
    </row>
    <row r="76" spans="1:9" x14ac:dyDescent="0.3">
      <c r="A76" s="11">
        <v>45614</v>
      </c>
      <c r="B76" s="20" t="s">
        <v>28</v>
      </c>
      <c r="C76" s="21">
        <v>793</v>
      </c>
      <c r="D76" s="21">
        <v>111</v>
      </c>
      <c r="E76" s="21">
        <v>333500</v>
      </c>
      <c r="F76" s="22">
        <v>6.36</v>
      </c>
      <c r="G76" s="21">
        <v>8910</v>
      </c>
      <c r="H76" s="30">
        <f t="shared" si="2"/>
        <v>682</v>
      </c>
      <c r="I76" s="31">
        <f t="shared" si="3"/>
        <v>2.0449775112443779E-3</v>
      </c>
    </row>
    <row r="77" spans="1:9" x14ac:dyDescent="0.3">
      <c r="A77" s="12">
        <v>45621</v>
      </c>
      <c r="B77" s="25" t="s">
        <v>13</v>
      </c>
      <c r="C77" s="26">
        <v>663</v>
      </c>
      <c r="D77" s="26">
        <v>213</v>
      </c>
      <c r="E77" s="26">
        <v>352677</v>
      </c>
      <c r="F77" s="27">
        <v>9</v>
      </c>
      <c r="G77" s="26">
        <v>20438</v>
      </c>
      <c r="H77" s="28">
        <f t="shared" si="2"/>
        <v>450</v>
      </c>
      <c r="I77" s="29">
        <f t="shared" si="3"/>
        <v>1.2759550523566889E-3</v>
      </c>
    </row>
    <row r="78" spans="1:9" x14ac:dyDescent="0.3">
      <c r="A78" s="11">
        <v>45621</v>
      </c>
      <c r="B78" s="20" t="s">
        <v>22</v>
      </c>
      <c r="C78" s="21">
        <v>954</v>
      </c>
      <c r="D78" s="21">
        <v>271</v>
      </c>
      <c r="E78" s="21">
        <v>160936</v>
      </c>
      <c r="F78" s="22">
        <v>8.83</v>
      </c>
      <c r="G78" s="21">
        <v>8760</v>
      </c>
      <c r="H78" s="30">
        <f t="shared" si="2"/>
        <v>683</v>
      </c>
      <c r="I78" s="31">
        <f t="shared" si="3"/>
        <v>4.2439230501565839E-3</v>
      </c>
    </row>
    <row r="79" spans="1:9" x14ac:dyDescent="0.3">
      <c r="A79" s="12">
        <v>45621</v>
      </c>
      <c r="B79" s="25" t="s">
        <v>28</v>
      </c>
      <c r="C79" s="26">
        <v>1313</v>
      </c>
      <c r="D79" s="26">
        <v>159</v>
      </c>
      <c r="E79" s="26">
        <v>197183</v>
      </c>
      <c r="F79" s="27">
        <v>9.7100000000000009</v>
      </c>
      <c r="G79" s="26">
        <v>6625</v>
      </c>
      <c r="H79" s="28">
        <f t="shared" si="2"/>
        <v>1154</v>
      </c>
      <c r="I79" s="29">
        <f t="shared" si="3"/>
        <v>5.8524314976443207E-3</v>
      </c>
    </row>
    <row r="80" spans="1:9" x14ac:dyDescent="0.3">
      <c r="A80" s="11">
        <v>45628</v>
      </c>
      <c r="B80" s="20" t="s">
        <v>13</v>
      </c>
      <c r="C80" s="21">
        <v>895</v>
      </c>
      <c r="D80" s="21">
        <v>87</v>
      </c>
      <c r="E80" s="21">
        <v>171271</v>
      </c>
      <c r="F80" s="22">
        <v>6.68</v>
      </c>
      <c r="G80" s="21">
        <v>23329</v>
      </c>
      <c r="H80" s="30">
        <f t="shared" si="2"/>
        <v>808</v>
      </c>
      <c r="I80" s="31">
        <f t="shared" si="3"/>
        <v>4.7176696580273365E-3</v>
      </c>
    </row>
    <row r="81" spans="1:9" x14ac:dyDescent="0.3">
      <c r="A81" s="12">
        <v>45628</v>
      </c>
      <c r="B81" s="25" t="s">
        <v>22</v>
      </c>
      <c r="C81" s="26">
        <v>1027</v>
      </c>
      <c r="D81" s="26">
        <v>156</v>
      </c>
      <c r="E81" s="26">
        <v>111293</v>
      </c>
      <c r="F81" s="27">
        <v>5.51</v>
      </c>
      <c r="G81" s="26">
        <v>7299</v>
      </c>
      <c r="H81" s="28">
        <f t="shared" si="2"/>
        <v>871</v>
      </c>
      <c r="I81" s="29">
        <f t="shared" si="3"/>
        <v>7.8261885293774095E-3</v>
      </c>
    </row>
    <row r="82" spans="1:9" x14ac:dyDescent="0.3">
      <c r="A82" s="11">
        <v>45628</v>
      </c>
      <c r="B82" s="20" t="s">
        <v>28</v>
      </c>
      <c r="C82" s="21">
        <v>990</v>
      </c>
      <c r="D82" s="21">
        <v>286</v>
      </c>
      <c r="E82" s="21">
        <v>351493</v>
      </c>
      <c r="F82" s="22">
        <v>7.97</v>
      </c>
      <c r="G82" s="21">
        <v>14496</v>
      </c>
      <c r="H82" s="30">
        <f t="shared" si="2"/>
        <v>704</v>
      </c>
      <c r="I82" s="31">
        <f t="shared" si="3"/>
        <v>2.0028848369668811E-3</v>
      </c>
    </row>
    <row r="83" spans="1:9" x14ac:dyDescent="0.3">
      <c r="A83" s="12">
        <v>45635</v>
      </c>
      <c r="B83" s="25" t="s">
        <v>13</v>
      </c>
      <c r="C83" s="26">
        <v>875</v>
      </c>
      <c r="D83" s="26">
        <v>264</v>
      </c>
      <c r="E83" s="26">
        <v>345631</v>
      </c>
      <c r="F83" s="27">
        <v>9.18</v>
      </c>
      <c r="G83" s="26">
        <v>25703</v>
      </c>
      <c r="H83" s="28">
        <f t="shared" si="2"/>
        <v>611</v>
      </c>
      <c r="I83" s="29">
        <f t="shared" si="3"/>
        <v>1.7677812464738406E-3</v>
      </c>
    </row>
    <row r="84" spans="1:9" x14ac:dyDescent="0.3">
      <c r="A84" s="11">
        <v>45635</v>
      </c>
      <c r="B84" s="20" t="s">
        <v>22</v>
      </c>
      <c r="C84" s="21">
        <v>599</v>
      </c>
      <c r="D84" s="21">
        <v>194</v>
      </c>
      <c r="E84" s="21">
        <v>105622</v>
      </c>
      <c r="F84" s="22">
        <v>6.44</v>
      </c>
      <c r="G84" s="21">
        <v>15108</v>
      </c>
      <c r="H84" s="30">
        <f t="shared" si="2"/>
        <v>405</v>
      </c>
      <c r="I84" s="31">
        <f t="shared" si="3"/>
        <v>3.8344284334702996E-3</v>
      </c>
    </row>
    <row r="85" spans="1:9" x14ac:dyDescent="0.3">
      <c r="A85" s="12">
        <v>45635</v>
      </c>
      <c r="B85" s="25" t="s">
        <v>28</v>
      </c>
      <c r="C85" s="26">
        <v>630</v>
      </c>
      <c r="D85" s="26">
        <v>248</v>
      </c>
      <c r="E85" s="26">
        <v>119054</v>
      </c>
      <c r="F85" s="27">
        <v>5.0199999999999996</v>
      </c>
      <c r="G85" s="26">
        <v>18867</v>
      </c>
      <c r="H85" s="28">
        <f t="shared" si="2"/>
        <v>382</v>
      </c>
      <c r="I85" s="29">
        <f t="shared" si="3"/>
        <v>3.2086280175382597E-3</v>
      </c>
    </row>
    <row r="86" spans="1:9" x14ac:dyDescent="0.3">
      <c r="A86" s="11">
        <v>45642</v>
      </c>
      <c r="B86" s="20" t="s">
        <v>13</v>
      </c>
      <c r="C86" s="21">
        <v>1350</v>
      </c>
      <c r="D86" s="21">
        <v>233</v>
      </c>
      <c r="E86" s="21">
        <v>171670</v>
      </c>
      <c r="F86" s="22">
        <v>4.53</v>
      </c>
      <c r="G86" s="21">
        <v>17574</v>
      </c>
      <c r="H86" s="30">
        <f t="shared" si="2"/>
        <v>1117</v>
      </c>
      <c r="I86" s="31">
        <f t="shared" si="3"/>
        <v>6.506669773402458E-3</v>
      </c>
    </row>
    <row r="87" spans="1:9" x14ac:dyDescent="0.3">
      <c r="A87" s="12">
        <v>45642</v>
      </c>
      <c r="B87" s="25" t="s">
        <v>22</v>
      </c>
      <c r="C87" s="26">
        <v>632</v>
      </c>
      <c r="D87" s="26">
        <v>155</v>
      </c>
      <c r="E87" s="26">
        <v>170432</v>
      </c>
      <c r="F87" s="27">
        <v>9.17</v>
      </c>
      <c r="G87" s="26">
        <v>12840</v>
      </c>
      <c r="H87" s="28">
        <f t="shared" si="2"/>
        <v>477</v>
      </c>
      <c r="I87" s="29">
        <f t="shared" si="3"/>
        <v>2.7987701840030041E-3</v>
      </c>
    </row>
    <row r="88" spans="1:9" x14ac:dyDescent="0.3">
      <c r="A88" s="11">
        <v>45642</v>
      </c>
      <c r="B88" s="20" t="s">
        <v>28</v>
      </c>
      <c r="C88" s="21">
        <v>1182</v>
      </c>
      <c r="D88" s="21">
        <v>83</v>
      </c>
      <c r="E88" s="21">
        <v>140300</v>
      </c>
      <c r="F88" s="22">
        <v>3.27</v>
      </c>
      <c r="G88" s="21">
        <v>21079</v>
      </c>
      <c r="H88" s="30">
        <f t="shared" si="2"/>
        <v>1099</v>
      </c>
      <c r="I88" s="31">
        <f t="shared" si="3"/>
        <v>7.8332145402708487E-3</v>
      </c>
    </row>
    <row r="89" spans="1:9" x14ac:dyDescent="0.3">
      <c r="A89" s="12">
        <v>45649</v>
      </c>
      <c r="B89" s="25" t="s">
        <v>13</v>
      </c>
      <c r="C89" s="26">
        <v>661</v>
      </c>
      <c r="D89" s="26">
        <v>94</v>
      </c>
      <c r="E89" s="26">
        <v>116538</v>
      </c>
      <c r="F89" s="27">
        <v>5.31</v>
      </c>
      <c r="G89" s="26">
        <v>23486</v>
      </c>
      <c r="H89" s="28">
        <f t="shared" si="2"/>
        <v>567</v>
      </c>
      <c r="I89" s="29">
        <f t="shared" si="3"/>
        <v>4.8653658034289241E-3</v>
      </c>
    </row>
    <row r="90" spans="1:9" x14ac:dyDescent="0.3">
      <c r="A90" s="11">
        <v>45649</v>
      </c>
      <c r="B90" s="20" t="s">
        <v>22</v>
      </c>
      <c r="C90" s="21">
        <v>1360</v>
      </c>
      <c r="D90" s="21">
        <v>227</v>
      </c>
      <c r="E90" s="21">
        <v>176902</v>
      </c>
      <c r="F90" s="22">
        <v>6.03</v>
      </c>
      <c r="G90" s="21">
        <v>5960</v>
      </c>
      <c r="H90" s="30">
        <f t="shared" si="2"/>
        <v>1133</v>
      </c>
      <c r="I90" s="31">
        <f t="shared" si="3"/>
        <v>6.4046760353189906E-3</v>
      </c>
    </row>
    <row r="91" spans="1:9" x14ac:dyDescent="0.3">
      <c r="A91" s="12">
        <v>45649</v>
      </c>
      <c r="B91" s="25" t="s">
        <v>28</v>
      </c>
      <c r="C91" s="26">
        <v>935</v>
      </c>
      <c r="D91" s="26">
        <v>85</v>
      </c>
      <c r="E91" s="26">
        <v>326821</v>
      </c>
      <c r="F91" s="27">
        <v>8.89</v>
      </c>
      <c r="G91" s="26">
        <v>13301</v>
      </c>
      <c r="H91" s="28">
        <f t="shared" si="2"/>
        <v>850</v>
      </c>
      <c r="I91" s="29">
        <f t="shared" si="3"/>
        <v>2.60081206532016E-3</v>
      </c>
    </row>
    <row r="92" spans="1:9" x14ac:dyDescent="0.3">
      <c r="A92" s="11">
        <v>45656</v>
      </c>
      <c r="B92" s="20" t="s">
        <v>13</v>
      </c>
      <c r="C92" s="21">
        <v>664</v>
      </c>
      <c r="D92" s="21">
        <v>251</v>
      </c>
      <c r="E92" s="21">
        <v>240598</v>
      </c>
      <c r="F92" s="22">
        <v>4.79</v>
      </c>
      <c r="G92" s="21">
        <v>10563</v>
      </c>
      <c r="H92" s="30">
        <f t="shared" si="2"/>
        <v>413</v>
      </c>
      <c r="I92" s="31">
        <f t="shared" si="3"/>
        <v>1.7165562473503519E-3</v>
      </c>
    </row>
    <row r="93" spans="1:9" x14ac:dyDescent="0.3">
      <c r="A93" s="12">
        <v>45656</v>
      </c>
      <c r="B93" s="25" t="s">
        <v>22</v>
      </c>
      <c r="C93" s="26">
        <v>1490</v>
      </c>
      <c r="D93" s="26">
        <v>103</v>
      </c>
      <c r="E93" s="26">
        <v>373274</v>
      </c>
      <c r="F93" s="27">
        <v>4.8</v>
      </c>
      <c r="G93" s="26">
        <v>19949</v>
      </c>
      <c r="H93" s="28">
        <f t="shared" si="2"/>
        <v>1387</v>
      </c>
      <c r="I93" s="29">
        <f t="shared" si="3"/>
        <v>3.7157691133055076E-3</v>
      </c>
    </row>
    <row r="94" spans="1:9" x14ac:dyDescent="0.3">
      <c r="A94" s="11">
        <v>45656</v>
      </c>
      <c r="B94" s="20" t="s">
        <v>28</v>
      </c>
      <c r="C94" s="21">
        <v>601</v>
      </c>
      <c r="D94" s="21">
        <v>64</v>
      </c>
      <c r="E94" s="21">
        <v>123272</v>
      </c>
      <c r="F94" s="22">
        <v>4.07</v>
      </c>
      <c r="G94" s="21">
        <v>14273</v>
      </c>
      <c r="H94" s="30">
        <f t="shared" si="2"/>
        <v>537</v>
      </c>
      <c r="I94" s="31">
        <f t="shared" si="3"/>
        <v>4.3562203906807708E-3</v>
      </c>
    </row>
    <row r="95" spans="1:9" x14ac:dyDescent="0.3">
      <c r="A95" s="12">
        <v>45663</v>
      </c>
      <c r="B95" s="25" t="s">
        <v>13</v>
      </c>
      <c r="C95" s="26">
        <v>613</v>
      </c>
      <c r="D95" s="26">
        <v>170</v>
      </c>
      <c r="E95" s="26">
        <v>139266</v>
      </c>
      <c r="F95" s="27">
        <v>6.06</v>
      </c>
      <c r="G95" s="26">
        <v>9247</v>
      </c>
      <c r="H95" s="28">
        <f t="shared" ref="H95:H126" si="4">C95-D95</f>
        <v>443</v>
      </c>
      <c r="I95" s="29">
        <f t="shared" ref="I95:I126" si="5">H95/E95</f>
        <v>3.1809630491290049E-3</v>
      </c>
    </row>
    <row r="96" spans="1:9" x14ac:dyDescent="0.3">
      <c r="A96" s="11">
        <v>45663</v>
      </c>
      <c r="B96" s="20" t="s">
        <v>22</v>
      </c>
      <c r="C96" s="21">
        <v>1340</v>
      </c>
      <c r="D96" s="21">
        <v>57</v>
      </c>
      <c r="E96" s="21">
        <v>155927</v>
      </c>
      <c r="F96" s="22">
        <v>7.79</v>
      </c>
      <c r="G96" s="21">
        <v>11972</v>
      </c>
      <c r="H96" s="30">
        <f t="shared" si="4"/>
        <v>1283</v>
      </c>
      <c r="I96" s="31">
        <f t="shared" si="5"/>
        <v>8.2282093543773697E-3</v>
      </c>
    </row>
    <row r="97" spans="1:9" x14ac:dyDescent="0.3">
      <c r="A97" s="12">
        <v>45663</v>
      </c>
      <c r="B97" s="25" t="s">
        <v>28</v>
      </c>
      <c r="C97" s="26">
        <v>953</v>
      </c>
      <c r="D97" s="26">
        <v>228</v>
      </c>
      <c r="E97" s="26">
        <v>258398</v>
      </c>
      <c r="F97" s="27">
        <v>9.0500000000000007</v>
      </c>
      <c r="G97" s="26">
        <v>13314</v>
      </c>
      <c r="H97" s="28">
        <f t="shared" si="4"/>
        <v>725</v>
      </c>
      <c r="I97" s="29">
        <f t="shared" si="5"/>
        <v>2.8057492705051896E-3</v>
      </c>
    </row>
    <row r="98" spans="1:9" x14ac:dyDescent="0.3">
      <c r="A98" s="11">
        <v>45670</v>
      </c>
      <c r="B98" s="20" t="s">
        <v>13</v>
      </c>
      <c r="C98" s="21">
        <v>532</v>
      </c>
      <c r="D98" s="21">
        <v>65</v>
      </c>
      <c r="E98" s="21">
        <v>338561</v>
      </c>
      <c r="F98" s="22">
        <v>3.5</v>
      </c>
      <c r="G98" s="21">
        <v>14749</v>
      </c>
      <c r="H98" s="30">
        <f t="shared" si="4"/>
        <v>467</v>
      </c>
      <c r="I98" s="31">
        <f t="shared" si="5"/>
        <v>1.3793673813581599E-3</v>
      </c>
    </row>
    <row r="99" spans="1:9" x14ac:dyDescent="0.3">
      <c r="A99" s="12">
        <v>45670</v>
      </c>
      <c r="B99" s="25" t="s">
        <v>22</v>
      </c>
      <c r="C99" s="26">
        <v>1414</v>
      </c>
      <c r="D99" s="26">
        <v>60</v>
      </c>
      <c r="E99" s="26">
        <v>341856</v>
      </c>
      <c r="F99" s="27">
        <v>8.76</v>
      </c>
      <c r="G99" s="26">
        <v>6868</v>
      </c>
      <c r="H99" s="28">
        <f t="shared" si="4"/>
        <v>1354</v>
      </c>
      <c r="I99" s="29">
        <f t="shared" si="5"/>
        <v>3.960732004118693E-3</v>
      </c>
    </row>
    <row r="100" spans="1:9" x14ac:dyDescent="0.3">
      <c r="A100" s="11">
        <v>45670</v>
      </c>
      <c r="B100" s="20" t="s">
        <v>28</v>
      </c>
      <c r="C100" s="21">
        <v>685</v>
      </c>
      <c r="D100" s="21">
        <v>165</v>
      </c>
      <c r="E100" s="21">
        <v>175860</v>
      </c>
      <c r="F100" s="22">
        <v>6.26</v>
      </c>
      <c r="G100" s="21">
        <v>6027</v>
      </c>
      <c r="H100" s="30">
        <f t="shared" si="4"/>
        <v>520</v>
      </c>
      <c r="I100" s="31">
        <f t="shared" si="5"/>
        <v>2.9568975321278288E-3</v>
      </c>
    </row>
    <row r="101" spans="1:9" x14ac:dyDescent="0.3">
      <c r="A101" s="12">
        <v>45677</v>
      </c>
      <c r="B101" s="25" t="s">
        <v>13</v>
      </c>
      <c r="C101" s="26">
        <v>601</v>
      </c>
      <c r="D101" s="26">
        <v>159</v>
      </c>
      <c r="E101" s="26">
        <v>327722</v>
      </c>
      <c r="F101" s="27">
        <v>3.33</v>
      </c>
      <c r="G101" s="26">
        <v>25267</v>
      </c>
      <c r="H101" s="28">
        <f t="shared" si="4"/>
        <v>442</v>
      </c>
      <c r="I101" s="29">
        <f t="shared" si="5"/>
        <v>1.3487040845594743E-3</v>
      </c>
    </row>
    <row r="102" spans="1:9" x14ac:dyDescent="0.3">
      <c r="A102" s="11">
        <v>45677</v>
      </c>
      <c r="B102" s="20" t="s">
        <v>22</v>
      </c>
      <c r="C102" s="21">
        <v>841</v>
      </c>
      <c r="D102" s="21">
        <v>295</v>
      </c>
      <c r="E102" s="21">
        <v>271638</v>
      </c>
      <c r="F102" s="22">
        <v>9.15</v>
      </c>
      <c r="G102" s="21">
        <v>5900</v>
      </c>
      <c r="H102" s="30">
        <f t="shared" si="4"/>
        <v>546</v>
      </c>
      <c r="I102" s="31">
        <f t="shared" si="5"/>
        <v>2.0100280520398473E-3</v>
      </c>
    </row>
    <row r="103" spans="1:9" x14ac:dyDescent="0.3">
      <c r="A103" s="12">
        <v>45677</v>
      </c>
      <c r="B103" s="25" t="s">
        <v>28</v>
      </c>
      <c r="C103" s="26">
        <v>1105</v>
      </c>
      <c r="D103" s="26">
        <v>261</v>
      </c>
      <c r="E103" s="26">
        <v>333851</v>
      </c>
      <c r="F103" s="27">
        <v>6.03</v>
      </c>
      <c r="G103" s="26">
        <v>11181</v>
      </c>
      <c r="H103" s="28">
        <f t="shared" si="4"/>
        <v>844</v>
      </c>
      <c r="I103" s="29">
        <f t="shared" si="5"/>
        <v>2.5280739012313877E-3</v>
      </c>
    </row>
    <row r="104" spans="1:9" x14ac:dyDescent="0.3">
      <c r="A104" s="11">
        <v>45684</v>
      </c>
      <c r="B104" s="20" t="s">
        <v>13</v>
      </c>
      <c r="C104" s="21">
        <v>566</v>
      </c>
      <c r="D104" s="21">
        <v>225</v>
      </c>
      <c r="E104" s="21">
        <v>368984</v>
      </c>
      <c r="F104" s="22">
        <v>9.82</v>
      </c>
      <c r="G104" s="21">
        <v>9592</v>
      </c>
      <c r="H104" s="30">
        <f t="shared" si="4"/>
        <v>341</v>
      </c>
      <c r="I104" s="31">
        <f t="shared" si="5"/>
        <v>9.2415931314094918E-4</v>
      </c>
    </row>
    <row r="105" spans="1:9" x14ac:dyDescent="0.3">
      <c r="A105" s="12">
        <v>45684</v>
      </c>
      <c r="B105" s="25" t="s">
        <v>22</v>
      </c>
      <c r="C105" s="26">
        <v>1149</v>
      </c>
      <c r="D105" s="26">
        <v>280</v>
      </c>
      <c r="E105" s="26">
        <v>167310</v>
      </c>
      <c r="F105" s="27">
        <v>3.7</v>
      </c>
      <c r="G105" s="26">
        <v>5291</v>
      </c>
      <c r="H105" s="28">
        <f t="shared" si="4"/>
        <v>869</v>
      </c>
      <c r="I105" s="29">
        <f t="shared" si="5"/>
        <v>5.1939513477975013E-3</v>
      </c>
    </row>
    <row r="106" spans="1:9" x14ac:dyDescent="0.3">
      <c r="A106" s="11">
        <v>45684</v>
      </c>
      <c r="B106" s="20" t="s">
        <v>28</v>
      </c>
      <c r="C106" s="21">
        <v>819</v>
      </c>
      <c r="D106" s="21">
        <v>101</v>
      </c>
      <c r="E106" s="21">
        <v>194811</v>
      </c>
      <c r="F106" s="22">
        <v>3.35</v>
      </c>
      <c r="G106" s="21">
        <v>22244</v>
      </c>
      <c r="H106" s="30">
        <f t="shared" si="4"/>
        <v>718</v>
      </c>
      <c r="I106" s="31">
        <f t="shared" si="5"/>
        <v>3.685623501752981E-3</v>
      </c>
    </row>
    <row r="107" spans="1:9" x14ac:dyDescent="0.3">
      <c r="A107" s="12">
        <v>45691</v>
      </c>
      <c r="B107" s="25" t="s">
        <v>13</v>
      </c>
      <c r="C107" s="26">
        <v>795</v>
      </c>
      <c r="D107" s="26">
        <v>60</v>
      </c>
      <c r="E107" s="26">
        <v>314982</v>
      </c>
      <c r="F107" s="27">
        <v>7.31</v>
      </c>
      <c r="G107" s="26">
        <v>6824</v>
      </c>
      <c r="H107" s="28">
        <f t="shared" si="4"/>
        <v>735</v>
      </c>
      <c r="I107" s="29">
        <f t="shared" si="5"/>
        <v>2.3334666742861497E-3</v>
      </c>
    </row>
    <row r="108" spans="1:9" x14ac:dyDescent="0.3">
      <c r="A108" s="11">
        <v>45691</v>
      </c>
      <c r="B108" s="20" t="s">
        <v>22</v>
      </c>
      <c r="C108" s="21">
        <v>681</v>
      </c>
      <c r="D108" s="21">
        <v>158</v>
      </c>
      <c r="E108" s="21">
        <v>75960</v>
      </c>
      <c r="F108" s="22">
        <v>3.13</v>
      </c>
      <c r="G108" s="21">
        <v>24112</v>
      </c>
      <c r="H108" s="30">
        <f t="shared" si="4"/>
        <v>523</v>
      </c>
      <c r="I108" s="31">
        <f t="shared" si="5"/>
        <v>6.8852027382833069E-3</v>
      </c>
    </row>
    <row r="109" spans="1:9" x14ac:dyDescent="0.3">
      <c r="A109" s="12">
        <v>45691</v>
      </c>
      <c r="B109" s="25" t="s">
        <v>28</v>
      </c>
      <c r="C109" s="26">
        <v>534</v>
      </c>
      <c r="D109" s="26">
        <v>112</v>
      </c>
      <c r="E109" s="26">
        <v>360759</v>
      </c>
      <c r="F109" s="27">
        <v>4.8899999999999997</v>
      </c>
      <c r="G109" s="26">
        <v>25478</v>
      </c>
      <c r="H109" s="28">
        <f t="shared" si="4"/>
        <v>422</v>
      </c>
      <c r="I109" s="29">
        <f t="shared" si="5"/>
        <v>1.1697559866836308E-3</v>
      </c>
    </row>
    <row r="110" spans="1:9" x14ac:dyDescent="0.3">
      <c r="A110" s="11">
        <v>45698</v>
      </c>
      <c r="B110" s="20" t="s">
        <v>13</v>
      </c>
      <c r="C110" s="21">
        <v>1066</v>
      </c>
      <c r="D110" s="21">
        <v>151</v>
      </c>
      <c r="E110" s="21">
        <v>297090</v>
      </c>
      <c r="F110" s="22">
        <v>8.6300000000000008</v>
      </c>
      <c r="G110" s="21">
        <v>11235</v>
      </c>
      <c r="H110" s="30">
        <f t="shared" si="4"/>
        <v>915</v>
      </c>
      <c r="I110" s="31">
        <f t="shared" si="5"/>
        <v>3.0798747854185599E-3</v>
      </c>
    </row>
    <row r="111" spans="1:9" x14ac:dyDescent="0.3">
      <c r="A111" s="12">
        <v>45698</v>
      </c>
      <c r="B111" s="25" t="s">
        <v>22</v>
      </c>
      <c r="C111" s="26">
        <v>1270</v>
      </c>
      <c r="D111" s="26">
        <v>162</v>
      </c>
      <c r="E111" s="26">
        <v>92040</v>
      </c>
      <c r="F111" s="27">
        <v>8.0299999999999994</v>
      </c>
      <c r="G111" s="26">
        <v>6120</v>
      </c>
      <c r="H111" s="28">
        <f t="shared" si="4"/>
        <v>1108</v>
      </c>
      <c r="I111" s="29">
        <f t="shared" si="5"/>
        <v>1.2038244241634072E-2</v>
      </c>
    </row>
    <row r="112" spans="1:9" x14ac:dyDescent="0.3">
      <c r="A112" s="11">
        <v>45698</v>
      </c>
      <c r="B112" s="20" t="s">
        <v>28</v>
      </c>
      <c r="C112" s="21">
        <v>536</v>
      </c>
      <c r="D112" s="21">
        <v>198</v>
      </c>
      <c r="E112" s="21">
        <v>174610</v>
      </c>
      <c r="F112" s="22">
        <v>7.85</v>
      </c>
      <c r="G112" s="21">
        <v>20572</v>
      </c>
      <c r="H112" s="30">
        <f t="shared" si="4"/>
        <v>338</v>
      </c>
      <c r="I112" s="31">
        <f t="shared" si="5"/>
        <v>1.9357425118836263E-3</v>
      </c>
    </row>
    <row r="113" spans="1:9" x14ac:dyDescent="0.3">
      <c r="A113" s="12">
        <v>45705</v>
      </c>
      <c r="B113" s="25" t="s">
        <v>13</v>
      </c>
      <c r="C113" s="26">
        <v>819</v>
      </c>
      <c r="D113" s="26">
        <v>95</v>
      </c>
      <c r="E113" s="26">
        <v>177376</v>
      </c>
      <c r="F113" s="27">
        <v>6.12</v>
      </c>
      <c r="G113" s="26">
        <v>14975</v>
      </c>
      <c r="H113" s="28">
        <f t="shared" si="4"/>
        <v>724</v>
      </c>
      <c r="I113" s="29">
        <f t="shared" si="5"/>
        <v>4.0817246978170664E-3</v>
      </c>
    </row>
    <row r="114" spans="1:9" x14ac:dyDescent="0.3">
      <c r="A114" s="11">
        <v>45705</v>
      </c>
      <c r="B114" s="20" t="s">
        <v>22</v>
      </c>
      <c r="C114" s="21">
        <v>681</v>
      </c>
      <c r="D114" s="21">
        <v>218</v>
      </c>
      <c r="E114" s="21">
        <v>198882</v>
      </c>
      <c r="F114" s="22">
        <v>7.16</v>
      </c>
      <c r="G114" s="21">
        <v>22234</v>
      </c>
      <c r="H114" s="30">
        <f t="shared" si="4"/>
        <v>463</v>
      </c>
      <c r="I114" s="31">
        <f t="shared" si="5"/>
        <v>2.3280135960016494E-3</v>
      </c>
    </row>
    <row r="115" spans="1:9" x14ac:dyDescent="0.3">
      <c r="A115" s="12">
        <v>45705</v>
      </c>
      <c r="B115" s="25" t="s">
        <v>28</v>
      </c>
      <c r="C115" s="26">
        <v>646</v>
      </c>
      <c r="D115" s="26">
        <v>290</v>
      </c>
      <c r="E115" s="26">
        <v>336383</v>
      </c>
      <c r="F115" s="27">
        <v>7.04</v>
      </c>
      <c r="G115" s="26">
        <v>6532</v>
      </c>
      <c r="H115" s="28">
        <f t="shared" si="4"/>
        <v>356</v>
      </c>
      <c r="I115" s="29">
        <f t="shared" si="5"/>
        <v>1.0583174536168594E-3</v>
      </c>
    </row>
    <row r="116" spans="1:9" x14ac:dyDescent="0.3">
      <c r="A116" s="11">
        <v>45712</v>
      </c>
      <c r="B116" s="20" t="s">
        <v>13</v>
      </c>
      <c r="C116" s="21">
        <v>645</v>
      </c>
      <c r="D116" s="21">
        <v>267</v>
      </c>
      <c r="E116" s="21">
        <v>346890</v>
      </c>
      <c r="F116" s="22">
        <v>3.71</v>
      </c>
      <c r="G116" s="21">
        <v>24858</v>
      </c>
      <c r="H116" s="30">
        <f t="shared" si="4"/>
        <v>378</v>
      </c>
      <c r="I116" s="31">
        <f t="shared" si="5"/>
        <v>1.0896826083196401E-3</v>
      </c>
    </row>
    <row r="117" spans="1:9" x14ac:dyDescent="0.3">
      <c r="A117" s="12">
        <v>45712</v>
      </c>
      <c r="B117" s="25" t="s">
        <v>22</v>
      </c>
      <c r="C117" s="26">
        <v>886</v>
      </c>
      <c r="D117" s="26">
        <v>250</v>
      </c>
      <c r="E117" s="26">
        <v>168170</v>
      </c>
      <c r="F117" s="27">
        <v>4.12</v>
      </c>
      <c r="G117" s="26">
        <v>13883</v>
      </c>
      <c r="H117" s="28">
        <f t="shared" si="4"/>
        <v>636</v>
      </c>
      <c r="I117" s="29">
        <f t="shared" si="5"/>
        <v>3.7818873758696555E-3</v>
      </c>
    </row>
    <row r="118" spans="1:9" x14ac:dyDescent="0.3">
      <c r="A118" s="11">
        <v>45712</v>
      </c>
      <c r="B118" s="20" t="s">
        <v>28</v>
      </c>
      <c r="C118" s="21">
        <v>978</v>
      </c>
      <c r="D118" s="21">
        <v>279</v>
      </c>
      <c r="E118" s="21">
        <v>368872</v>
      </c>
      <c r="F118" s="22">
        <v>6.82</v>
      </c>
      <c r="G118" s="21">
        <v>18654</v>
      </c>
      <c r="H118" s="30">
        <f t="shared" si="4"/>
        <v>699</v>
      </c>
      <c r="I118" s="31">
        <f t="shared" si="5"/>
        <v>1.8949662755644234E-3</v>
      </c>
    </row>
    <row r="119" spans="1:9" x14ac:dyDescent="0.3">
      <c r="A119" s="12">
        <v>45719</v>
      </c>
      <c r="B119" s="25" t="s">
        <v>13</v>
      </c>
      <c r="C119" s="26">
        <v>1444</v>
      </c>
      <c r="D119" s="26">
        <v>165</v>
      </c>
      <c r="E119" s="26">
        <v>116436</v>
      </c>
      <c r="F119" s="27">
        <v>8.2200000000000006</v>
      </c>
      <c r="G119" s="26">
        <v>25234</v>
      </c>
      <c r="H119" s="28">
        <f t="shared" si="4"/>
        <v>1279</v>
      </c>
      <c r="I119" s="29">
        <f t="shared" si="5"/>
        <v>1.0984575217286749E-2</v>
      </c>
    </row>
    <row r="120" spans="1:9" x14ac:dyDescent="0.3">
      <c r="A120" s="11">
        <v>45719</v>
      </c>
      <c r="B120" s="20" t="s">
        <v>22</v>
      </c>
      <c r="C120" s="21">
        <v>1234</v>
      </c>
      <c r="D120" s="21">
        <v>228</v>
      </c>
      <c r="E120" s="21">
        <v>127502</v>
      </c>
      <c r="F120" s="22">
        <v>7.71</v>
      </c>
      <c r="G120" s="21">
        <v>6772</v>
      </c>
      <c r="H120" s="30">
        <f t="shared" si="4"/>
        <v>1006</v>
      </c>
      <c r="I120" s="31">
        <f t="shared" si="5"/>
        <v>7.8900723125911749E-3</v>
      </c>
    </row>
    <row r="121" spans="1:9" x14ac:dyDescent="0.3">
      <c r="A121" s="12">
        <v>45719</v>
      </c>
      <c r="B121" s="25" t="s">
        <v>28</v>
      </c>
      <c r="C121" s="26">
        <v>665</v>
      </c>
      <c r="D121" s="26">
        <v>187</v>
      </c>
      <c r="E121" s="26">
        <v>274567</v>
      </c>
      <c r="F121" s="27">
        <v>7.39</v>
      </c>
      <c r="G121" s="26">
        <v>22428</v>
      </c>
      <c r="H121" s="28">
        <f t="shared" si="4"/>
        <v>478</v>
      </c>
      <c r="I121" s="29">
        <f t="shared" si="5"/>
        <v>1.7409229805475531E-3</v>
      </c>
    </row>
    <row r="122" spans="1:9" x14ac:dyDescent="0.3">
      <c r="A122" s="11">
        <v>45726</v>
      </c>
      <c r="B122" s="20" t="s">
        <v>13</v>
      </c>
      <c r="C122" s="21">
        <v>631</v>
      </c>
      <c r="D122" s="21">
        <v>86</v>
      </c>
      <c r="E122" s="21">
        <v>295090</v>
      </c>
      <c r="F122" s="22">
        <v>7.89</v>
      </c>
      <c r="G122" s="21">
        <v>11911</v>
      </c>
      <c r="H122" s="30">
        <f t="shared" si="4"/>
        <v>545</v>
      </c>
      <c r="I122" s="31">
        <f t="shared" si="5"/>
        <v>1.8468941678809856E-3</v>
      </c>
    </row>
    <row r="123" spans="1:9" x14ac:dyDescent="0.3">
      <c r="A123" s="12">
        <v>45726</v>
      </c>
      <c r="B123" s="25" t="s">
        <v>22</v>
      </c>
      <c r="C123" s="26">
        <v>1159</v>
      </c>
      <c r="D123" s="26">
        <v>154</v>
      </c>
      <c r="E123" s="26">
        <v>194994</v>
      </c>
      <c r="F123" s="27">
        <v>6.39</v>
      </c>
      <c r="G123" s="26">
        <v>21900</v>
      </c>
      <c r="H123" s="28">
        <f t="shared" si="4"/>
        <v>1005</v>
      </c>
      <c r="I123" s="29">
        <f t="shared" si="5"/>
        <v>5.1540047386073422E-3</v>
      </c>
    </row>
    <row r="124" spans="1:9" x14ac:dyDescent="0.3">
      <c r="A124" s="11">
        <v>45726</v>
      </c>
      <c r="B124" s="20" t="s">
        <v>28</v>
      </c>
      <c r="C124" s="21">
        <v>950</v>
      </c>
      <c r="D124" s="21">
        <v>185</v>
      </c>
      <c r="E124" s="21">
        <v>340750</v>
      </c>
      <c r="F124" s="22">
        <v>6.77</v>
      </c>
      <c r="G124" s="21">
        <v>25542</v>
      </c>
      <c r="H124" s="30">
        <f t="shared" si="4"/>
        <v>765</v>
      </c>
      <c r="I124" s="31">
        <f t="shared" si="5"/>
        <v>2.2450476889214967E-3</v>
      </c>
    </row>
    <row r="125" spans="1:9" x14ac:dyDescent="0.3">
      <c r="A125" s="12">
        <v>45733</v>
      </c>
      <c r="B125" s="25" t="s">
        <v>13</v>
      </c>
      <c r="C125" s="26">
        <v>693</v>
      </c>
      <c r="D125" s="26">
        <v>129</v>
      </c>
      <c r="E125" s="26">
        <v>296031</v>
      </c>
      <c r="F125" s="27">
        <v>3.41</v>
      </c>
      <c r="G125" s="26">
        <v>7140</v>
      </c>
      <c r="H125" s="28">
        <f t="shared" si="4"/>
        <v>564</v>
      </c>
      <c r="I125" s="29">
        <f t="shared" si="5"/>
        <v>1.9052058737091724E-3</v>
      </c>
    </row>
    <row r="126" spans="1:9" x14ac:dyDescent="0.3">
      <c r="A126" s="11">
        <v>45733</v>
      </c>
      <c r="B126" s="20" t="s">
        <v>22</v>
      </c>
      <c r="C126" s="21">
        <v>576</v>
      </c>
      <c r="D126" s="21">
        <v>80</v>
      </c>
      <c r="E126" s="21">
        <v>345688</v>
      </c>
      <c r="F126" s="22">
        <v>4.1100000000000003</v>
      </c>
      <c r="G126" s="21">
        <v>20474</v>
      </c>
      <c r="H126" s="30">
        <f t="shared" si="4"/>
        <v>496</v>
      </c>
      <c r="I126" s="31">
        <f t="shared" si="5"/>
        <v>1.4348198375413667E-3</v>
      </c>
    </row>
    <row r="127" spans="1:9" x14ac:dyDescent="0.3">
      <c r="A127" s="12">
        <v>45733</v>
      </c>
      <c r="B127" s="25" t="s">
        <v>28</v>
      </c>
      <c r="C127" s="26">
        <v>1274</v>
      </c>
      <c r="D127" s="26">
        <v>146</v>
      </c>
      <c r="E127" s="26">
        <v>263488</v>
      </c>
      <c r="F127" s="27">
        <v>9.58</v>
      </c>
      <c r="G127" s="26">
        <v>8698</v>
      </c>
      <c r="H127" s="28">
        <f t="shared" ref="H127:H158" si="6">C127-D127</f>
        <v>1128</v>
      </c>
      <c r="I127" s="29">
        <f t="shared" ref="I127:I158" si="7">H127/E127</f>
        <v>4.2810298761233904E-3</v>
      </c>
    </row>
    <row r="128" spans="1:9" x14ac:dyDescent="0.3">
      <c r="A128" s="11">
        <v>45740</v>
      </c>
      <c r="B128" s="20" t="s">
        <v>13</v>
      </c>
      <c r="C128" s="21">
        <v>818</v>
      </c>
      <c r="D128" s="21">
        <v>253</v>
      </c>
      <c r="E128" s="21">
        <v>184911</v>
      </c>
      <c r="F128" s="22">
        <v>3.39</v>
      </c>
      <c r="G128" s="21">
        <v>10402</v>
      </c>
      <c r="H128" s="30">
        <f t="shared" si="6"/>
        <v>565</v>
      </c>
      <c r="I128" s="31">
        <f t="shared" si="7"/>
        <v>3.0555240088474996E-3</v>
      </c>
    </row>
    <row r="129" spans="1:9" x14ac:dyDescent="0.3">
      <c r="A129" s="12">
        <v>45740</v>
      </c>
      <c r="B129" s="25" t="s">
        <v>22</v>
      </c>
      <c r="C129" s="26">
        <v>975</v>
      </c>
      <c r="D129" s="26">
        <v>162</v>
      </c>
      <c r="E129" s="26">
        <v>124497</v>
      </c>
      <c r="F129" s="27">
        <v>9.58</v>
      </c>
      <c r="G129" s="26">
        <v>26618</v>
      </c>
      <c r="H129" s="28">
        <f t="shared" si="6"/>
        <v>813</v>
      </c>
      <c r="I129" s="29">
        <f t="shared" si="7"/>
        <v>6.5302778380201933E-3</v>
      </c>
    </row>
    <row r="130" spans="1:9" x14ac:dyDescent="0.3">
      <c r="A130" s="11">
        <v>45740</v>
      </c>
      <c r="B130" s="20" t="s">
        <v>28</v>
      </c>
      <c r="C130" s="21">
        <v>1398</v>
      </c>
      <c r="D130" s="21">
        <v>97</v>
      </c>
      <c r="E130" s="21">
        <v>397607</v>
      </c>
      <c r="F130" s="22">
        <v>5.09</v>
      </c>
      <c r="G130" s="21">
        <v>7975</v>
      </c>
      <c r="H130" s="30">
        <f t="shared" si="6"/>
        <v>1301</v>
      </c>
      <c r="I130" s="31">
        <f t="shared" si="7"/>
        <v>3.2720751898231166E-3</v>
      </c>
    </row>
    <row r="131" spans="1:9" x14ac:dyDescent="0.3">
      <c r="A131" s="12">
        <v>45747</v>
      </c>
      <c r="B131" s="25" t="s">
        <v>13</v>
      </c>
      <c r="C131" s="26">
        <v>591</v>
      </c>
      <c r="D131" s="26">
        <v>155</v>
      </c>
      <c r="E131" s="26">
        <v>138521</v>
      </c>
      <c r="F131" s="27">
        <v>7.85</v>
      </c>
      <c r="G131" s="26">
        <v>19054</v>
      </c>
      <c r="H131" s="28">
        <f t="shared" si="6"/>
        <v>436</v>
      </c>
      <c r="I131" s="29">
        <f t="shared" si="7"/>
        <v>3.1475371965261584E-3</v>
      </c>
    </row>
    <row r="132" spans="1:9" x14ac:dyDescent="0.3">
      <c r="A132" s="11">
        <v>45747</v>
      </c>
      <c r="B132" s="20" t="s">
        <v>22</v>
      </c>
      <c r="C132" s="21">
        <v>1232</v>
      </c>
      <c r="D132" s="21">
        <v>254</v>
      </c>
      <c r="E132" s="21">
        <v>107718</v>
      </c>
      <c r="F132" s="22">
        <v>9.7100000000000009</v>
      </c>
      <c r="G132" s="21">
        <v>13740</v>
      </c>
      <c r="H132" s="30">
        <f t="shared" si="6"/>
        <v>978</v>
      </c>
      <c r="I132" s="31">
        <f t="shared" si="7"/>
        <v>9.0792625187990864E-3</v>
      </c>
    </row>
    <row r="133" spans="1:9" x14ac:dyDescent="0.3">
      <c r="A133" s="12">
        <v>45747</v>
      </c>
      <c r="B133" s="25" t="s">
        <v>28</v>
      </c>
      <c r="C133" s="26">
        <v>1425</v>
      </c>
      <c r="D133" s="26">
        <v>58</v>
      </c>
      <c r="E133" s="26">
        <v>202234</v>
      </c>
      <c r="F133" s="27">
        <v>6.67</v>
      </c>
      <c r="G133" s="26">
        <v>18442</v>
      </c>
      <c r="H133" s="28">
        <f t="shared" si="6"/>
        <v>1367</v>
      </c>
      <c r="I133" s="29">
        <f t="shared" si="7"/>
        <v>6.7594964249334932E-3</v>
      </c>
    </row>
    <row r="134" spans="1:9" x14ac:dyDescent="0.3">
      <c r="A134" s="11">
        <v>45754</v>
      </c>
      <c r="B134" s="20" t="s">
        <v>13</v>
      </c>
      <c r="C134" s="21">
        <v>1417</v>
      </c>
      <c r="D134" s="21">
        <v>80</v>
      </c>
      <c r="E134" s="21">
        <v>340987</v>
      </c>
      <c r="F134" s="22">
        <v>6.13</v>
      </c>
      <c r="G134" s="21">
        <v>10104</v>
      </c>
      <c r="H134" s="30">
        <f t="shared" si="6"/>
        <v>1337</v>
      </c>
      <c r="I134" s="31">
        <f t="shared" si="7"/>
        <v>3.9209705941868752E-3</v>
      </c>
    </row>
    <row r="135" spans="1:9" x14ac:dyDescent="0.3">
      <c r="A135" s="12">
        <v>45754</v>
      </c>
      <c r="B135" s="25" t="s">
        <v>22</v>
      </c>
      <c r="C135" s="26">
        <v>1222</v>
      </c>
      <c r="D135" s="26">
        <v>208</v>
      </c>
      <c r="E135" s="26">
        <v>340098</v>
      </c>
      <c r="F135" s="27">
        <v>7.34</v>
      </c>
      <c r="G135" s="26">
        <v>21771</v>
      </c>
      <c r="H135" s="28">
        <f t="shared" si="6"/>
        <v>1014</v>
      </c>
      <c r="I135" s="29">
        <f t="shared" si="7"/>
        <v>2.9814935695005556E-3</v>
      </c>
    </row>
    <row r="136" spans="1:9" x14ac:dyDescent="0.3">
      <c r="A136" s="11">
        <v>45754</v>
      </c>
      <c r="B136" s="20" t="s">
        <v>28</v>
      </c>
      <c r="C136" s="21">
        <v>1071</v>
      </c>
      <c r="D136" s="21">
        <v>131</v>
      </c>
      <c r="E136" s="21">
        <v>254727</v>
      </c>
      <c r="F136" s="22">
        <v>6.87</v>
      </c>
      <c r="G136" s="21">
        <v>22191</v>
      </c>
      <c r="H136" s="30">
        <f t="shared" si="6"/>
        <v>940</v>
      </c>
      <c r="I136" s="31">
        <f t="shared" si="7"/>
        <v>3.6902252215116576E-3</v>
      </c>
    </row>
    <row r="137" spans="1:9" x14ac:dyDescent="0.3">
      <c r="A137" s="12">
        <v>45761</v>
      </c>
      <c r="B137" s="25" t="s">
        <v>13</v>
      </c>
      <c r="C137" s="26">
        <v>772</v>
      </c>
      <c r="D137" s="26">
        <v>82</v>
      </c>
      <c r="E137" s="26">
        <v>345659</v>
      </c>
      <c r="F137" s="27">
        <v>3.52</v>
      </c>
      <c r="G137" s="26">
        <v>27753</v>
      </c>
      <c r="H137" s="28">
        <f t="shared" si="6"/>
        <v>690</v>
      </c>
      <c r="I137" s="29">
        <f t="shared" si="7"/>
        <v>1.9961869935398759E-3</v>
      </c>
    </row>
    <row r="138" spans="1:9" x14ac:dyDescent="0.3">
      <c r="A138" s="11">
        <v>45761</v>
      </c>
      <c r="B138" s="20" t="s">
        <v>22</v>
      </c>
      <c r="C138" s="21">
        <v>1472</v>
      </c>
      <c r="D138" s="21">
        <v>137</v>
      </c>
      <c r="E138" s="21">
        <v>213950</v>
      </c>
      <c r="F138" s="22">
        <v>6.96</v>
      </c>
      <c r="G138" s="21">
        <v>23736</v>
      </c>
      <c r="H138" s="30">
        <f t="shared" si="6"/>
        <v>1335</v>
      </c>
      <c r="I138" s="31">
        <f t="shared" si="7"/>
        <v>6.2397756485160086E-3</v>
      </c>
    </row>
    <row r="139" spans="1:9" x14ac:dyDescent="0.3">
      <c r="A139" s="12">
        <v>45761</v>
      </c>
      <c r="B139" s="25" t="s">
        <v>28</v>
      </c>
      <c r="C139" s="26">
        <v>1472</v>
      </c>
      <c r="D139" s="26">
        <v>281</v>
      </c>
      <c r="E139" s="26">
        <v>258115</v>
      </c>
      <c r="F139" s="27">
        <v>7.23</v>
      </c>
      <c r="G139" s="26">
        <v>27393</v>
      </c>
      <c r="H139" s="28">
        <f t="shared" si="6"/>
        <v>1191</v>
      </c>
      <c r="I139" s="29">
        <f t="shared" si="7"/>
        <v>4.6142223427541986E-3</v>
      </c>
    </row>
    <row r="140" spans="1:9" x14ac:dyDescent="0.3">
      <c r="A140" s="11">
        <v>45768</v>
      </c>
      <c r="B140" s="20" t="s">
        <v>13</v>
      </c>
      <c r="C140" s="21">
        <v>585</v>
      </c>
      <c r="D140" s="21">
        <v>232</v>
      </c>
      <c r="E140" s="21">
        <v>321258</v>
      </c>
      <c r="F140" s="22">
        <v>7.42</v>
      </c>
      <c r="G140" s="21">
        <v>10343</v>
      </c>
      <c r="H140" s="30">
        <f t="shared" si="6"/>
        <v>353</v>
      </c>
      <c r="I140" s="31">
        <f t="shared" si="7"/>
        <v>1.0988053215795403E-3</v>
      </c>
    </row>
    <row r="141" spans="1:9" x14ac:dyDescent="0.3">
      <c r="A141" s="12">
        <v>45768</v>
      </c>
      <c r="B141" s="25" t="s">
        <v>22</v>
      </c>
      <c r="C141" s="26">
        <v>747</v>
      </c>
      <c r="D141" s="26">
        <v>261</v>
      </c>
      <c r="E141" s="26">
        <v>338650</v>
      </c>
      <c r="F141" s="27">
        <v>7.73</v>
      </c>
      <c r="G141" s="26">
        <v>25259</v>
      </c>
      <c r="H141" s="28">
        <f t="shared" si="6"/>
        <v>486</v>
      </c>
      <c r="I141" s="29">
        <f t="shared" si="7"/>
        <v>1.4351099955706482E-3</v>
      </c>
    </row>
    <row r="142" spans="1:9" x14ac:dyDescent="0.3">
      <c r="A142" s="11">
        <v>45768</v>
      </c>
      <c r="B142" s="20" t="s">
        <v>28</v>
      </c>
      <c r="C142" s="21">
        <v>1113</v>
      </c>
      <c r="D142" s="21">
        <v>224</v>
      </c>
      <c r="E142" s="21">
        <v>272989</v>
      </c>
      <c r="F142" s="22">
        <v>5.13</v>
      </c>
      <c r="G142" s="21">
        <v>24827</v>
      </c>
      <c r="H142" s="30">
        <f t="shared" si="6"/>
        <v>889</v>
      </c>
      <c r="I142" s="31">
        <f t="shared" si="7"/>
        <v>3.2565414723670183E-3</v>
      </c>
    </row>
    <row r="143" spans="1:9" x14ac:dyDescent="0.3">
      <c r="A143" s="12">
        <v>45775</v>
      </c>
      <c r="B143" s="25" t="s">
        <v>13</v>
      </c>
      <c r="C143" s="26">
        <v>1100</v>
      </c>
      <c r="D143" s="26">
        <v>117</v>
      </c>
      <c r="E143" s="26">
        <v>260204</v>
      </c>
      <c r="F143" s="27">
        <v>4.4000000000000004</v>
      </c>
      <c r="G143" s="26">
        <v>11908</v>
      </c>
      <c r="H143" s="28">
        <f t="shared" si="6"/>
        <v>983</v>
      </c>
      <c r="I143" s="29">
        <f t="shared" si="7"/>
        <v>3.7778051067623862E-3</v>
      </c>
    </row>
    <row r="144" spans="1:9" x14ac:dyDescent="0.3">
      <c r="A144" s="11">
        <v>45775</v>
      </c>
      <c r="B144" s="20" t="s">
        <v>22</v>
      </c>
      <c r="C144" s="21">
        <v>751</v>
      </c>
      <c r="D144" s="21">
        <v>170</v>
      </c>
      <c r="E144" s="21">
        <v>283278</v>
      </c>
      <c r="F144" s="22">
        <v>3.49</v>
      </c>
      <c r="G144" s="21">
        <v>11005</v>
      </c>
      <c r="H144" s="30">
        <f t="shared" si="6"/>
        <v>581</v>
      </c>
      <c r="I144" s="31">
        <f t="shared" si="7"/>
        <v>2.0509887813384732E-3</v>
      </c>
    </row>
    <row r="145" spans="1:9" x14ac:dyDescent="0.3">
      <c r="A145" s="12">
        <v>45775</v>
      </c>
      <c r="B145" s="25" t="s">
        <v>28</v>
      </c>
      <c r="C145" s="26">
        <v>864</v>
      </c>
      <c r="D145" s="26">
        <v>50</v>
      </c>
      <c r="E145" s="26">
        <v>277445</v>
      </c>
      <c r="F145" s="27">
        <v>3.57</v>
      </c>
      <c r="G145" s="26">
        <v>26333</v>
      </c>
      <c r="H145" s="28">
        <f t="shared" si="6"/>
        <v>814</v>
      </c>
      <c r="I145" s="29">
        <f t="shared" si="7"/>
        <v>2.9339148299662998E-3</v>
      </c>
    </row>
    <row r="146" spans="1:9" x14ac:dyDescent="0.3">
      <c r="A146" s="11">
        <v>45782</v>
      </c>
      <c r="B146" s="20" t="s">
        <v>13</v>
      </c>
      <c r="C146" s="21">
        <v>1146</v>
      </c>
      <c r="D146" s="21">
        <v>227</v>
      </c>
      <c r="E146" s="21">
        <v>353781</v>
      </c>
      <c r="F146" s="22">
        <v>6.41</v>
      </c>
      <c r="G146" s="21">
        <v>5495</v>
      </c>
      <c r="H146" s="30">
        <f t="shared" si="6"/>
        <v>919</v>
      </c>
      <c r="I146" s="31">
        <f t="shared" si="7"/>
        <v>2.5976522198761379E-3</v>
      </c>
    </row>
    <row r="147" spans="1:9" x14ac:dyDescent="0.3">
      <c r="A147" s="12">
        <v>45782</v>
      </c>
      <c r="B147" s="25" t="s">
        <v>22</v>
      </c>
      <c r="C147" s="26">
        <v>883</v>
      </c>
      <c r="D147" s="26">
        <v>207</v>
      </c>
      <c r="E147" s="26">
        <v>265019</v>
      </c>
      <c r="F147" s="27">
        <v>6.04</v>
      </c>
      <c r="G147" s="26">
        <v>15655</v>
      </c>
      <c r="H147" s="28">
        <f t="shared" si="6"/>
        <v>676</v>
      </c>
      <c r="I147" s="29">
        <f t="shared" si="7"/>
        <v>2.5507605115104954E-3</v>
      </c>
    </row>
    <row r="148" spans="1:9" x14ac:dyDescent="0.3">
      <c r="A148" s="11">
        <v>45782</v>
      </c>
      <c r="B148" s="20" t="s">
        <v>28</v>
      </c>
      <c r="C148" s="21">
        <v>622</v>
      </c>
      <c r="D148" s="21">
        <v>163</v>
      </c>
      <c r="E148" s="21">
        <v>231925</v>
      </c>
      <c r="F148" s="22">
        <v>9.18</v>
      </c>
      <c r="G148" s="21">
        <v>13763</v>
      </c>
      <c r="H148" s="30">
        <f t="shared" si="6"/>
        <v>459</v>
      </c>
      <c r="I148" s="31">
        <f t="shared" si="7"/>
        <v>1.9790880672631238E-3</v>
      </c>
    </row>
    <row r="149" spans="1:9" x14ac:dyDescent="0.3">
      <c r="A149" s="12">
        <v>45789</v>
      </c>
      <c r="B149" s="25" t="s">
        <v>13</v>
      </c>
      <c r="C149" s="26">
        <v>837</v>
      </c>
      <c r="D149" s="26">
        <v>261</v>
      </c>
      <c r="E149" s="26">
        <v>366149</v>
      </c>
      <c r="F149" s="27">
        <v>6.54</v>
      </c>
      <c r="G149" s="26">
        <v>26073</v>
      </c>
      <c r="H149" s="28">
        <f t="shared" si="6"/>
        <v>576</v>
      </c>
      <c r="I149" s="29">
        <f t="shared" si="7"/>
        <v>1.5731300645365684E-3</v>
      </c>
    </row>
    <row r="150" spans="1:9" x14ac:dyDescent="0.3">
      <c r="A150" s="11">
        <v>45789</v>
      </c>
      <c r="B150" s="20" t="s">
        <v>22</v>
      </c>
      <c r="C150" s="21">
        <v>544</v>
      </c>
      <c r="D150" s="21">
        <v>97</v>
      </c>
      <c r="E150" s="21">
        <v>168375</v>
      </c>
      <c r="F150" s="22">
        <v>8.66</v>
      </c>
      <c r="G150" s="21">
        <v>12774</v>
      </c>
      <c r="H150" s="30">
        <f t="shared" si="6"/>
        <v>447</v>
      </c>
      <c r="I150" s="31">
        <f t="shared" si="7"/>
        <v>2.6547884187082403E-3</v>
      </c>
    </row>
    <row r="151" spans="1:9" x14ac:dyDescent="0.3">
      <c r="A151" s="12">
        <v>45789</v>
      </c>
      <c r="B151" s="25" t="s">
        <v>28</v>
      </c>
      <c r="C151" s="26">
        <v>624</v>
      </c>
      <c r="D151" s="26">
        <v>247</v>
      </c>
      <c r="E151" s="26">
        <v>252763</v>
      </c>
      <c r="F151" s="27">
        <v>3.89</v>
      </c>
      <c r="G151" s="26">
        <v>19000</v>
      </c>
      <c r="H151" s="28">
        <f t="shared" si="6"/>
        <v>377</v>
      </c>
      <c r="I151" s="29">
        <f t="shared" si="7"/>
        <v>1.4915157677349929E-3</v>
      </c>
    </row>
    <row r="152" spans="1:9" x14ac:dyDescent="0.3">
      <c r="A152" s="11">
        <v>45796</v>
      </c>
      <c r="B152" s="20" t="s">
        <v>13</v>
      </c>
      <c r="C152" s="21">
        <v>1073</v>
      </c>
      <c r="D152" s="21">
        <v>141</v>
      </c>
      <c r="E152" s="21">
        <v>118393</v>
      </c>
      <c r="F152" s="22">
        <v>7.95</v>
      </c>
      <c r="G152" s="21">
        <v>14051</v>
      </c>
      <c r="H152" s="30">
        <f t="shared" si="6"/>
        <v>932</v>
      </c>
      <c r="I152" s="31">
        <f t="shared" si="7"/>
        <v>7.872087032172511E-3</v>
      </c>
    </row>
    <row r="153" spans="1:9" x14ac:dyDescent="0.3">
      <c r="A153" s="12">
        <v>45796</v>
      </c>
      <c r="B153" s="25" t="s">
        <v>22</v>
      </c>
      <c r="C153" s="26">
        <v>1430</v>
      </c>
      <c r="D153" s="26">
        <v>74</v>
      </c>
      <c r="E153" s="26">
        <v>327012</v>
      </c>
      <c r="F153" s="27">
        <v>6.66</v>
      </c>
      <c r="G153" s="26">
        <v>27782</v>
      </c>
      <c r="H153" s="28">
        <f t="shared" si="6"/>
        <v>1356</v>
      </c>
      <c r="I153" s="29">
        <f t="shared" si="7"/>
        <v>4.1466368206671319E-3</v>
      </c>
    </row>
    <row r="154" spans="1:9" x14ac:dyDescent="0.3">
      <c r="A154" s="11">
        <v>45796</v>
      </c>
      <c r="B154" s="20" t="s">
        <v>28</v>
      </c>
      <c r="C154" s="21">
        <v>1358</v>
      </c>
      <c r="D154" s="21">
        <v>77</v>
      </c>
      <c r="E154" s="21">
        <v>169688</v>
      </c>
      <c r="F154" s="22">
        <v>5.25</v>
      </c>
      <c r="G154" s="21">
        <v>7859</v>
      </c>
      <c r="H154" s="30">
        <f t="shared" si="6"/>
        <v>1281</v>
      </c>
      <c r="I154" s="31">
        <f t="shared" si="7"/>
        <v>7.5491490264485411E-3</v>
      </c>
    </row>
    <row r="155" spans="1:9" x14ac:dyDescent="0.3">
      <c r="A155" s="12">
        <v>45803</v>
      </c>
      <c r="B155" s="25" t="s">
        <v>13</v>
      </c>
      <c r="C155" s="26">
        <v>1242</v>
      </c>
      <c r="D155" s="26">
        <v>201</v>
      </c>
      <c r="E155" s="26">
        <v>271935</v>
      </c>
      <c r="F155" s="27">
        <v>5.07</v>
      </c>
      <c r="G155" s="26">
        <v>15773</v>
      </c>
      <c r="H155" s="28">
        <f t="shared" si="6"/>
        <v>1041</v>
      </c>
      <c r="I155" s="29">
        <f t="shared" si="7"/>
        <v>3.8281206906062111E-3</v>
      </c>
    </row>
    <row r="156" spans="1:9" x14ac:dyDescent="0.3">
      <c r="A156" s="11">
        <v>45803</v>
      </c>
      <c r="B156" s="20" t="s">
        <v>22</v>
      </c>
      <c r="C156" s="21">
        <v>1389</v>
      </c>
      <c r="D156" s="21">
        <v>205</v>
      </c>
      <c r="E156" s="21">
        <v>315981</v>
      </c>
      <c r="F156" s="22">
        <v>7.62</v>
      </c>
      <c r="G156" s="21">
        <v>20595</v>
      </c>
      <c r="H156" s="30">
        <f t="shared" si="6"/>
        <v>1184</v>
      </c>
      <c r="I156" s="31">
        <f t="shared" si="7"/>
        <v>3.7470607409939207E-3</v>
      </c>
    </row>
    <row r="157" spans="1:9" x14ac:dyDescent="0.3">
      <c r="A157" s="12">
        <v>45803</v>
      </c>
      <c r="B157" s="25" t="s">
        <v>28</v>
      </c>
      <c r="C157" s="26">
        <v>826</v>
      </c>
      <c r="D157" s="26">
        <v>142</v>
      </c>
      <c r="E157" s="26">
        <v>341016</v>
      </c>
      <c r="F157" s="27">
        <v>7.44</v>
      </c>
      <c r="G157" s="26">
        <v>12031</v>
      </c>
      <c r="H157" s="28">
        <f t="shared" si="6"/>
        <v>684</v>
      </c>
      <c r="I157" s="29">
        <f t="shared" si="7"/>
        <v>2.005770990217468E-3</v>
      </c>
    </row>
    <row r="158" spans="1:9" x14ac:dyDescent="0.3">
      <c r="A158" s="11">
        <v>45810</v>
      </c>
      <c r="B158" s="20" t="s">
        <v>13</v>
      </c>
      <c r="C158" s="21">
        <v>618</v>
      </c>
      <c r="D158" s="21">
        <v>264</v>
      </c>
      <c r="E158" s="21">
        <v>285164</v>
      </c>
      <c r="F158" s="22">
        <v>4.8600000000000003</v>
      </c>
      <c r="G158" s="21">
        <v>15128</v>
      </c>
      <c r="H158" s="30">
        <f t="shared" si="6"/>
        <v>354</v>
      </c>
      <c r="I158" s="31">
        <f t="shared" si="7"/>
        <v>1.2413909189098204E-3</v>
      </c>
    </row>
    <row r="159" spans="1:9" x14ac:dyDescent="0.3">
      <c r="A159" s="12">
        <v>45810</v>
      </c>
      <c r="B159" s="25" t="s">
        <v>22</v>
      </c>
      <c r="C159" s="26">
        <v>1419</v>
      </c>
      <c r="D159" s="26">
        <v>293</v>
      </c>
      <c r="E159" s="26">
        <v>116632</v>
      </c>
      <c r="F159" s="27">
        <v>6.93</v>
      </c>
      <c r="G159" s="26">
        <v>11826</v>
      </c>
      <c r="H159" s="28">
        <f t="shared" ref="H159:H190" si="8">C159-D159</f>
        <v>1126</v>
      </c>
      <c r="I159" s="29">
        <f t="shared" ref="I159:I190" si="9">H159/E159</f>
        <v>9.6542972769051369E-3</v>
      </c>
    </row>
    <row r="160" spans="1:9" x14ac:dyDescent="0.3">
      <c r="A160" s="11">
        <v>45810</v>
      </c>
      <c r="B160" s="20" t="s">
        <v>28</v>
      </c>
      <c r="C160" s="21">
        <v>637</v>
      </c>
      <c r="D160" s="21">
        <v>68</v>
      </c>
      <c r="E160" s="21">
        <v>115694</v>
      </c>
      <c r="F160" s="22">
        <v>9.99</v>
      </c>
      <c r="G160" s="21">
        <v>12562</v>
      </c>
      <c r="H160" s="30">
        <f t="shared" si="8"/>
        <v>569</v>
      </c>
      <c r="I160" s="31">
        <f t="shared" si="9"/>
        <v>4.9181461441388493E-3</v>
      </c>
    </row>
    <row r="161" spans="1:9" x14ac:dyDescent="0.3">
      <c r="A161" s="12">
        <v>45817</v>
      </c>
      <c r="B161" s="25" t="s">
        <v>13</v>
      </c>
      <c r="C161" s="26">
        <v>917</v>
      </c>
      <c r="D161" s="26">
        <v>187</v>
      </c>
      <c r="E161" s="26">
        <v>64444</v>
      </c>
      <c r="F161" s="27">
        <v>5.22</v>
      </c>
      <c r="G161" s="26">
        <v>13013</v>
      </c>
      <c r="H161" s="28">
        <f t="shared" si="8"/>
        <v>730</v>
      </c>
      <c r="I161" s="29">
        <f t="shared" si="9"/>
        <v>1.1327664328719508E-2</v>
      </c>
    </row>
    <row r="162" spans="1:9" x14ac:dyDescent="0.3">
      <c r="A162" s="11">
        <v>45817</v>
      </c>
      <c r="B162" s="20" t="s">
        <v>22</v>
      </c>
      <c r="C162" s="21">
        <v>810</v>
      </c>
      <c r="D162" s="21">
        <v>232</v>
      </c>
      <c r="E162" s="21">
        <v>362559</v>
      </c>
      <c r="F162" s="22">
        <v>5.17</v>
      </c>
      <c r="G162" s="21">
        <v>12937</v>
      </c>
      <c r="H162" s="30">
        <f t="shared" si="8"/>
        <v>578</v>
      </c>
      <c r="I162" s="31">
        <f t="shared" si="9"/>
        <v>1.5942232850377457E-3</v>
      </c>
    </row>
    <row r="163" spans="1:9" x14ac:dyDescent="0.3">
      <c r="A163" s="12">
        <v>45817</v>
      </c>
      <c r="B163" s="25" t="s">
        <v>28</v>
      </c>
      <c r="C163" s="26">
        <v>1183</v>
      </c>
      <c r="D163" s="26">
        <v>248</v>
      </c>
      <c r="E163" s="26">
        <v>226881</v>
      </c>
      <c r="F163" s="27">
        <v>5.17</v>
      </c>
      <c r="G163" s="26">
        <v>14534</v>
      </c>
      <c r="H163" s="28">
        <f t="shared" si="8"/>
        <v>935</v>
      </c>
      <c r="I163" s="29">
        <f t="shared" si="9"/>
        <v>4.1211031333606603E-3</v>
      </c>
    </row>
    <row r="164" spans="1:9" x14ac:dyDescent="0.3">
      <c r="A164" s="11">
        <v>45824</v>
      </c>
      <c r="B164" s="20" t="s">
        <v>13</v>
      </c>
      <c r="C164" s="21">
        <v>765</v>
      </c>
      <c r="D164" s="21">
        <v>67</v>
      </c>
      <c r="E164" s="21">
        <v>283537</v>
      </c>
      <c r="F164" s="22">
        <v>6.18</v>
      </c>
      <c r="G164" s="21">
        <v>8182</v>
      </c>
      <c r="H164" s="30">
        <f t="shared" si="8"/>
        <v>698</v>
      </c>
      <c r="I164" s="31">
        <f t="shared" si="9"/>
        <v>2.4617598408673293E-3</v>
      </c>
    </row>
    <row r="165" spans="1:9" x14ac:dyDescent="0.3">
      <c r="A165" s="12">
        <v>45824</v>
      </c>
      <c r="B165" s="25" t="s">
        <v>22</v>
      </c>
      <c r="C165" s="26">
        <v>540</v>
      </c>
      <c r="D165" s="26">
        <v>215</v>
      </c>
      <c r="E165" s="26">
        <v>62837</v>
      </c>
      <c r="F165" s="27">
        <v>5.3</v>
      </c>
      <c r="G165" s="26">
        <v>10615</v>
      </c>
      <c r="H165" s="28">
        <f t="shared" si="8"/>
        <v>325</v>
      </c>
      <c r="I165" s="29">
        <f t="shared" si="9"/>
        <v>5.1721119722456512E-3</v>
      </c>
    </row>
    <row r="166" spans="1:9" x14ac:dyDescent="0.3">
      <c r="A166" s="11">
        <v>45824</v>
      </c>
      <c r="B166" s="20" t="s">
        <v>28</v>
      </c>
      <c r="C166" s="21">
        <v>1145</v>
      </c>
      <c r="D166" s="21">
        <v>151</v>
      </c>
      <c r="E166" s="21">
        <v>182759</v>
      </c>
      <c r="F166" s="22">
        <v>5.99</v>
      </c>
      <c r="G166" s="21">
        <v>20109</v>
      </c>
      <c r="H166" s="30">
        <f t="shared" si="8"/>
        <v>994</v>
      </c>
      <c r="I166" s="31">
        <f t="shared" si="9"/>
        <v>5.4388566363352828E-3</v>
      </c>
    </row>
    <row r="167" spans="1:9" x14ac:dyDescent="0.3">
      <c r="A167" s="12">
        <v>45831</v>
      </c>
      <c r="B167" s="25" t="s">
        <v>13</v>
      </c>
      <c r="C167" s="26">
        <v>564</v>
      </c>
      <c r="D167" s="26">
        <v>244</v>
      </c>
      <c r="E167" s="26">
        <v>279405</v>
      </c>
      <c r="F167" s="27">
        <v>8.43</v>
      </c>
      <c r="G167" s="26">
        <v>26024</v>
      </c>
      <c r="H167" s="28">
        <f t="shared" si="8"/>
        <v>320</v>
      </c>
      <c r="I167" s="29">
        <f t="shared" si="9"/>
        <v>1.1452908859898713E-3</v>
      </c>
    </row>
    <row r="168" spans="1:9" x14ac:dyDescent="0.3">
      <c r="A168" s="11">
        <v>45831</v>
      </c>
      <c r="B168" s="20" t="s">
        <v>22</v>
      </c>
      <c r="C168" s="21">
        <v>668</v>
      </c>
      <c r="D168" s="21">
        <v>124</v>
      </c>
      <c r="E168" s="21">
        <v>257485</v>
      </c>
      <c r="F168" s="22">
        <v>7.55</v>
      </c>
      <c r="G168" s="21">
        <v>26730</v>
      </c>
      <c r="H168" s="30">
        <f t="shared" si="8"/>
        <v>544</v>
      </c>
      <c r="I168" s="31">
        <f t="shared" si="9"/>
        <v>2.1127444317144686E-3</v>
      </c>
    </row>
    <row r="169" spans="1:9" x14ac:dyDescent="0.3">
      <c r="A169" s="12">
        <v>45831</v>
      </c>
      <c r="B169" s="25" t="s">
        <v>28</v>
      </c>
      <c r="C169" s="26">
        <v>761</v>
      </c>
      <c r="D169" s="26">
        <v>241</v>
      </c>
      <c r="E169" s="26">
        <v>154977</v>
      </c>
      <c r="F169" s="27">
        <v>5.63</v>
      </c>
      <c r="G169" s="26">
        <v>10563</v>
      </c>
      <c r="H169" s="28">
        <f t="shared" si="8"/>
        <v>520</v>
      </c>
      <c r="I169" s="29">
        <f t="shared" si="9"/>
        <v>3.3553365983339462E-3</v>
      </c>
    </row>
    <row r="170" spans="1:9" x14ac:dyDescent="0.3">
      <c r="A170" s="11">
        <v>45838</v>
      </c>
      <c r="B170" s="20" t="s">
        <v>13</v>
      </c>
      <c r="C170" s="21">
        <v>593</v>
      </c>
      <c r="D170" s="21">
        <v>108</v>
      </c>
      <c r="E170" s="21">
        <v>216500</v>
      </c>
      <c r="F170" s="22">
        <v>4.71</v>
      </c>
      <c r="G170" s="21">
        <v>27575</v>
      </c>
      <c r="H170" s="30">
        <f t="shared" si="8"/>
        <v>485</v>
      </c>
      <c r="I170" s="31">
        <f t="shared" si="9"/>
        <v>2.2401847575057735E-3</v>
      </c>
    </row>
    <row r="171" spans="1:9" x14ac:dyDescent="0.3">
      <c r="A171" s="12">
        <v>45838</v>
      </c>
      <c r="B171" s="25" t="s">
        <v>22</v>
      </c>
      <c r="C171" s="26">
        <v>1349</v>
      </c>
      <c r="D171" s="26">
        <v>115</v>
      </c>
      <c r="E171" s="26">
        <v>102102</v>
      </c>
      <c r="F171" s="27">
        <v>5.28</v>
      </c>
      <c r="G171" s="26">
        <v>14479</v>
      </c>
      <c r="H171" s="28">
        <f t="shared" si="8"/>
        <v>1234</v>
      </c>
      <c r="I171" s="29">
        <f t="shared" si="9"/>
        <v>1.208595326242385E-2</v>
      </c>
    </row>
    <row r="172" spans="1:9" x14ac:dyDescent="0.3">
      <c r="A172" s="11">
        <v>45838</v>
      </c>
      <c r="B172" s="20" t="s">
        <v>28</v>
      </c>
      <c r="C172" s="21">
        <v>693</v>
      </c>
      <c r="D172" s="21">
        <v>97</v>
      </c>
      <c r="E172" s="21">
        <v>92025</v>
      </c>
      <c r="F172" s="22">
        <v>5.95</v>
      </c>
      <c r="G172" s="21">
        <v>15915</v>
      </c>
      <c r="H172" s="30">
        <f t="shared" si="8"/>
        <v>596</v>
      </c>
      <c r="I172" s="31">
        <f t="shared" si="9"/>
        <v>6.4765009508285796E-3</v>
      </c>
    </row>
    <row r="173" spans="1:9" x14ac:dyDescent="0.3">
      <c r="A173" s="12">
        <v>45845</v>
      </c>
      <c r="B173" s="25" t="s">
        <v>13</v>
      </c>
      <c r="C173" s="26">
        <v>974</v>
      </c>
      <c r="D173" s="26">
        <v>143</v>
      </c>
      <c r="E173" s="26">
        <v>247965</v>
      </c>
      <c r="F173" s="27">
        <v>9.98</v>
      </c>
      <c r="G173" s="26">
        <v>12767</v>
      </c>
      <c r="H173" s="28">
        <f t="shared" si="8"/>
        <v>831</v>
      </c>
      <c r="I173" s="29">
        <f t="shared" si="9"/>
        <v>3.3512794144334888E-3</v>
      </c>
    </row>
    <row r="174" spans="1:9" x14ac:dyDescent="0.3">
      <c r="A174" s="11">
        <v>45845</v>
      </c>
      <c r="B174" s="20" t="s">
        <v>22</v>
      </c>
      <c r="C174" s="21">
        <v>1155</v>
      </c>
      <c r="D174" s="21">
        <v>122</v>
      </c>
      <c r="E174" s="21">
        <v>387352</v>
      </c>
      <c r="F174" s="22">
        <v>9.93</v>
      </c>
      <c r="G174" s="21">
        <v>12170</v>
      </c>
      <c r="H174" s="30">
        <f t="shared" si="8"/>
        <v>1033</v>
      </c>
      <c r="I174" s="31">
        <f t="shared" si="9"/>
        <v>2.6668250067122413E-3</v>
      </c>
    </row>
    <row r="175" spans="1:9" x14ac:dyDescent="0.3">
      <c r="A175" s="12">
        <v>45845</v>
      </c>
      <c r="B175" s="25" t="s">
        <v>28</v>
      </c>
      <c r="C175" s="26">
        <v>1051</v>
      </c>
      <c r="D175" s="26">
        <v>246</v>
      </c>
      <c r="E175" s="26">
        <v>253985</v>
      </c>
      <c r="F175" s="27">
        <v>9.08</v>
      </c>
      <c r="G175" s="26">
        <v>7245</v>
      </c>
      <c r="H175" s="28">
        <f t="shared" si="8"/>
        <v>805</v>
      </c>
      <c r="I175" s="29">
        <f t="shared" si="9"/>
        <v>3.1694785125105812E-3</v>
      </c>
    </row>
    <row r="176" spans="1:9" x14ac:dyDescent="0.3">
      <c r="A176" s="11">
        <v>45852</v>
      </c>
      <c r="B176" s="20" t="s">
        <v>13</v>
      </c>
      <c r="C176" s="21">
        <v>1457</v>
      </c>
      <c r="D176" s="21">
        <v>183</v>
      </c>
      <c r="E176" s="21">
        <v>129640</v>
      </c>
      <c r="F176" s="22">
        <v>7.98</v>
      </c>
      <c r="G176" s="21">
        <v>12985</v>
      </c>
      <c r="H176" s="30">
        <f t="shared" si="8"/>
        <v>1274</v>
      </c>
      <c r="I176" s="31">
        <f t="shared" si="9"/>
        <v>9.827213822894169E-3</v>
      </c>
    </row>
    <row r="177" spans="1:9" x14ac:dyDescent="0.3">
      <c r="A177" s="12">
        <v>45852</v>
      </c>
      <c r="B177" s="25" t="s">
        <v>22</v>
      </c>
      <c r="C177" s="26">
        <v>670</v>
      </c>
      <c r="D177" s="26">
        <v>242</v>
      </c>
      <c r="E177" s="26">
        <v>281913</v>
      </c>
      <c r="F177" s="27">
        <v>9.6199999999999992</v>
      </c>
      <c r="G177" s="26">
        <v>16377</v>
      </c>
      <c r="H177" s="28">
        <f t="shared" si="8"/>
        <v>428</v>
      </c>
      <c r="I177" s="29">
        <f t="shared" si="9"/>
        <v>1.5181988769584942E-3</v>
      </c>
    </row>
    <row r="178" spans="1:9" x14ac:dyDescent="0.3">
      <c r="A178" s="11">
        <v>45852</v>
      </c>
      <c r="B178" s="20" t="s">
        <v>28</v>
      </c>
      <c r="C178" s="21">
        <v>1111</v>
      </c>
      <c r="D178" s="21">
        <v>159</v>
      </c>
      <c r="E178" s="21">
        <v>360770</v>
      </c>
      <c r="F178" s="22">
        <v>8.7100000000000009</v>
      </c>
      <c r="G178" s="21">
        <v>11453</v>
      </c>
      <c r="H178" s="30">
        <f t="shared" si="8"/>
        <v>952</v>
      </c>
      <c r="I178" s="31">
        <f t="shared" si="9"/>
        <v>2.6388003437092886E-3</v>
      </c>
    </row>
    <row r="179" spans="1:9" x14ac:dyDescent="0.3">
      <c r="A179" s="12">
        <v>45859</v>
      </c>
      <c r="B179" s="25" t="s">
        <v>13</v>
      </c>
      <c r="C179" s="26">
        <v>1197</v>
      </c>
      <c r="D179" s="26">
        <v>246</v>
      </c>
      <c r="E179" s="26">
        <v>127273</v>
      </c>
      <c r="F179" s="27">
        <v>6.69</v>
      </c>
      <c r="G179" s="26">
        <v>12323</v>
      </c>
      <c r="H179" s="28">
        <f t="shared" si="8"/>
        <v>951</v>
      </c>
      <c r="I179" s="29">
        <f t="shared" si="9"/>
        <v>7.4721268454424738E-3</v>
      </c>
    </row>
    <row r="180" spans="1:9" x14ac:dyDescent="0.3">
      <c r="A180" s="11">
        <v>45859</v>
      </c>
      <c r="B180" s="20" t="s">
        <v>22</v>
      </c>
      <c r="C180" s="21">
        <v>754</v>
      </c>
      <c r="D180" s="21">
        <v>150</v>
      </c>
      <c r="E180" s="21">
        <v>189622</v>
      </c>
      <c r="F180" s="22">
        <v>4.25</v>
      </c>
      <c r="G180" s="21">
        <v>11911</v>
      </c>
      <c r="H180" s="30">
        <f t="shared" si="8"/>
        <v>604</v>
      </c>
      <c r="I180" s="31">
        <f t="shared" si="9"/>
        <v>3.1852844079273504E-3</v>
      </c>
    </row>
    <row r="181" spans="1:9" x14ac:dyDescent="0.3">
      <c r="A181" s="12">
        <v>45859</v>
      </c>
      <c r="B181" s="25" t="s">
        <v>28</v>
      </c>
      <c r="C181" s="26">
        <v>1246</v>
      </c>
      <c r="D181" s="26">
        <v>107</v>
      </c>
      <c r="E181" s="26">
        <v>350949</v>
      </c>
      <c r="F181" s="27">
        <v>4.9800000000000004</v>
      </c>
      <c r="G181" s="26">
        <v>27809</v>
      </c>
      <c r="H181" s="28">
        <f t="shared" si="8"/>
        <v>1139</v>
      </c>
      <c r="I181" s="29">
        <f t="shared" si="9"/>
        <v>3.2454858113287115E-3</v>
      </c>
    </row>
    <row r="182" spans="1:9" x14ac:dyDescent="0.3">
      <c r="A182" s="11">
        <v>45866</v>
      </c>
      <c r="B182" s="20" t="s">
        <v>13</v>
      </c>
      <c r="C182" s="21">
        <v>780</v>
      </c>
      <c r="D182" s="21">
        <v>213</v>
      </c>
      <c r="E182" s="21">
        <v>121431</v>
      </c>
      <c r="F182" s="22">
        <v>4.97</v>
      </c>
      <c r="G182" s="21">
        <v>21464</v>
      </c>
      <c r="H182" s="30">
        <f t="shared" si="8"/>
        <v>567</v>
      </c>
      <c r="I182" s="31">
        <f t="shared" si="9"/>
        <v>4.669318378338316E-3</v>
      </c>
    </row>
    <row r="183" spans="1:9" x14ac:dyDescent="0.3">
      <c r="A183" s="12">
        <v>45866</v>
      </c>
      <c r="B183" s="25" t="s">
        <v>22</v>
      </c>
      <c r="C183" s="26">
        <v>1425</v>
      </c>
      <c r="D183" s="26">
        <v>143</v>
      </c>
      <c r="E183" s="26">
        <v>116742</v>
      </c>
      <c r="F183" s="27">
        <v>3.71</v>
      </c>
      <c r="G183" s="26">
        <v>27126</v>
      </c>
      <c r="H183" s="28">
        <f t="shared" si="8"/>
        <v>1282</v>
      </c>
      <c r="I183" s="29">
        <f t="shared" si="9"/>
        <v>1.0981480529715098E-2</v>
      </c>
    </row>
    <row r="184" spans="1:9" x14ac:dyDescent="0.3">
      <c r="A184" s="11">
        <v>45866</v>
      </c>
      <c r="B184" s="20" t="s">
        <v>28</v>
      </c>
      <c r="C184" s="21">
        <v>1490</v>
      </c>
      <c r="D184" s="21">
        <v>103</v>
      </c>
      <c r="E184" s="21">
        <v>81184</v>
      </c>
      <c r="F184" s="22">
        <v>7.79</v>
      </c>
      <c r="G184" s="21">
        <v>10681</v>
      </c>
      <c r="H184" s="30">
        <f t="shared" si="8"/>
        <v>1387</v>
      </c>
      <c r="I184" s="31">
        <f t="shared" si="9"/>
        <v>1.7084647221127316E-2</v>
      </c>
    </row>
    <row r="185" spans="1:9" x14ac:dyDescent="0.3">
      <c r="A185" s="12">
        <v>45873</v>
      </c>
      <c r="B185" s="25" t="s">
        <v>13</v>
      </c>
      <c r="C185" s="26">
        <v>949</v>
      </c>
      <c r="D185" s="26">
        <v>282</v>
      </c>
      <c r="E185" s="26">
        <v>87126</v>
      </c>
      <c r="F185" s="27">
        <v>4.96</v>
      </c>
      <c r="G185" s="26">
        <v>5413</v>
      </c>
      <c r="H185" s="28">
        <f t="shared" si="8"/>
        <v>667</v>
      </c>
      <c r="I185" s="29">
        <f t="shared" si="9"/>
        <v>7.6555792759910937E-3</v>
      </c>
    </row>
    <row r="186" spans="1:9" x14ac:dyDescent="0.3">
      <c r="A186" s="11">
        <v>45873</v>
      </c>
      <c r="B186" s="20" t="s">
        <v>22</v>
      </c>
      <c r="C186" s="21">
        <v>640</v>
      </c>
      <c r="D186" s="21">
        <v>141</v>
      </c>
      <c r="E186" s="21">
        <v>267546</v>
      </c>
      <c r="F186" s="22">
        <v>8.58</v>
      </c>
      <c r="G186" s="21">
        <v>25058</v>
      </c>
      <c r="H186" s="30">
        <f t="shared" si="8"/>
        <v>499</v>
      </c>
      <c r="I186" s="31">
        <f t="shared" si="9"/>
        <v>1.8650998332996943E-3</v>
      </c>
    </row>
    <row r="187" spans="1:9" x14ac:dyDescent="0.3">
      <c r="A187" s="12">
        <v>45873</v>
      </c>
      <c r="B187" s="25" t="s">
        <v>28</v>
      </c>
      <c r="C187" s="26">
        <v>616</v>
      </c>
      <c r="D187" s="26">
        <v>93</v>
      </c>
      <c r="E187" s="26">
        <v>133082</v>
      </c>
      <c r="F187" s="27">
        <v>8.51</v>
      </c>
      <c r="G187" s="26">
        <v>18303</v>
      </c>
      <c r="H187" s="28">
        <f t="shared" si="8"/>
        <v>523</v>
      </c>
      <c r="I187" s="29">
        <f t="shared" si="9"/>
        <v>3.9299078763469142E-3</v>
      </c>
    </row>
    <row r="188" spans="1:9" x14ac:dyDescent="0.3">
      <c r="A188" s="11">
        <v>45880</v>
      </c>
      <c r="B188" s="20" t="s">
        <v>13</v>
      </c>
      <c r="C188" s="21">
        <v>1080</v>
      </c>
      <c r="D188" s="21">
        <v>184</v>
      </c>
      <c r="E188" s="21">
        <v>340557</v>
      </c>
      <c r="F188" s="22">
        <v>5.41</v>
      </c>
      <c r="G188" s="21">
        <v>5526</v>
      </c>
      <c r="H188" s="30">
        <f t="shared" si="8"/>
        <v>896</v>
      </c>
      <c r="I188" s="31">
        <f t="shared" si="9"/>
        <v>2.6309839468870114E-3</v>
      </c>
    </row>
    <row r="189" spans="1:9" x14ac:dyDescent="0.3">
      <c r="A189" s="12">
        <v>45880</v>
      </c>
      <c r="B189" s="25" t="s">
        <v>22</v>
      </c>
      <c r="C189" s="26">
        <v>938</v>
      </c>
      <c r="D189" s="26">
        <v>236</v>
      </c>
      <c r="E189" s="26">
        <v>116472</v>
      </c>
      <c r="F189" s="27">
        <v>8.7200000000000006</v>
      </c>
      <c r="G189" s="26">
        <v>17460</v>
      </c>
      <c r="H189" s="28">
        <f t="shared" si="8"/>
        <v>702</v>
      </c>
      <c r="I189" s="29">
        <f t="shared" si="9"/>
        <v>6.0271996703070265E-3</v>
      </c>
    </row>
    <row r="190" spans="1:9" x14ac:dyDescent="0.3">
      <c r="A190" s="11">
        <v>45880</v>
      </c>
      <c r="B190" s="20" t="s">
        <v>28</v>
      </c>
      <c r="C190" s="21">
        <v>1007</v>
      </c>
      <c r="D190" s="21">
        <v>258</v>
      </c>
      <c r="E190" s="21">
        <v>113412</v>
      </c>
      <c r="F190" s="22">
        <v>7.71</v>
      </c>
      <c r="G190" s="21">
        <v>14475</v>
      </c>
      <c r="H190" s="30">
        <f t="shared" si="8"/>
        <v>749</v>
      </c>
      <c r="I190" s="31">
        <f t="shared" si="9"/>
        <v>6.6042394102916796E-3</v>
      </c>
    </row>
    <row r="191" spans="1:9" x14ac:dyDescent="0.3">
      <c r="A191" s="12">
        <v>45887</v>
      </c>
      <c r="B191" s="25" t="s">
        <v>13</v>
      </c>
      <c r="C191" s="26">
        <v>541</v>
      </c>
      <c r="D191" s="26">
        <v>208</v>
      </c>
      <c r="E191" s="26">
        <v>157547</v>
      </c>
      <c r="F191" s="27">
        <v>8.35</v>
      </c>
      <c r="G191" s="26">
        <v>20162</v>
      </c>
      <c r="H191" s="28">
        <f t="shared" ref="H191:H201" si="10">C191-D191</f>
        <v>333</v>
      </c>
      <c r="I191" s="29">
        <f t="shared" ref="I191:I201" si="11">H191/E191</f>
        <v>2.1136549728017671E-3</v>
      </c>
    </row>
    <row r="192" spans="1:9" x14ac:dyDescent="0.3">
      <c r="A192" s="11">
        <v>45887</v>
      </c>
      <c r="B192" s="20" t="s">
        <v>22</v>
      </c>
      <c r="C192" s="21">
        <v>745</v>
      </c>
      <c r="D192" s="21">
        <v>98</v>
      </c>
      <c r="E192" s="21">
        <v>354816</v>
      </c>
      <c r="F192" s="22">
        <v>4.03</v>
      </c>
      <c r="G192" s="21">
        <v>17103</v>
      </c>
      <c r="H192" s="30">
        <f t="shared" si="10"/>
        <v>647</v>
      </c>
      <c r="I192" s="31">
        <f t="shared" si="11"/>
        <v>1.823480339105339E-3</v>
      </c>
    </row>
    <row r="193" spans="1:9" x14ac:dyDescent="0.3">
      <c r="A193" s="12">
        <v>45887</v>
      </c>
      <c r="B193" s="25" t="s">
        <v>28</v>
      </c>
      <c r="C193" s="26">
        <v>936</v>
      </c>
      <c r="D193" s="26">
        <v>97</v>
      </c>
      <c r="E193" s="26">
        <v>151799</v>
      </c>
      <c r="F193" s="27">
        <v>9.3699999999999992</v>
      </c>
      <c r="G193" s="26">
        <v>15461</v>
      </c>
      <c r="H193" s="28">
        <f t="shared" si="10"/>
        <v>839</v>
      </c>
      <c r="I193" s="29">
        <f t="shared" si="11"/>
        <v>5.5270456327116777E-3</v>
      </c>
    </row>
    <row r="194" spans="1:9" x14ac:dyDescent="0.3">
      <c r="A194" s="11">
        <v>45894</v>
      </c>
      <c r="B194" s="20" t="s">
        <v>13</v>
      </c>
      <c r="C194" s="21">
        <v>1183</v>
      </c>
      <c r="D194" s="21">
        <v>223</v>
      </c>
      <c r="E194" s="21">
        <v>143811</v>
      </c>
      <c r="F194" s="22">
        <v>6.07</v>
      </c>
      <c r="G194" s="21">
        <v>22103</v>
      </c>
      <c r="H194" s="30">
        <f t="shared" si="10"/>
        <v>960</v>
      </c>
      <c r="I194" s="31">
        <f t="shared" si="11"/>
        <v>6.6754281661347186E-3</v>
      </c>
    </row>
    <row r="195" spans="1:9" x14ac:dyDescent="0.3">
      <c r="A195" s="12">
        <v>45894</v>
      </c>
      <c r="B195" s="25" t="s">
        <v>22</v>
      </c>
      <c r="C195" s="26">
        <v>1413</v>
      </c>
      <c r="D195" s="26">
        <v>245</v>
      </c>
      <c r="E195" s="26">
        <v>296450</v>
      </c>
      <c r="F195" s="27">
        <v>6.52</v>
      </c>
      <c r="G195" s="26">
        <v>11625</v>
      </c>
      <c r="H195" s="28">
        <f t="shared" si="10"/>
        <v>1168</v>
      </c>
      <c r="I195" s="29">
        <f t="shared" si="11"/>
        <v>3.9399561477483558E-3</v>
      </c>
    </row>
    <row r="196" spans="1:9" x14ac:dyDescent="0.3">
      <c r="A196" s="11">
        <v>45894</v>
      </c>
      <c r="B196" s="20" t="s">
        <v>28</v>
      </c>
      <c r="C196" s="21">
        <v>791</v>
      </c>
      <c r="D196" s="21">
        <v>273</v>
      </c>
      <c r="E196" s="21">
        <v>144049</v>
      </c>
      <c r="F196" s="22">
        <v>3.08</v>
      </c>
      <c r="G196" s="21">
        <v>5281</v>
      </c>
      <c r="H196" s="30">
        <f t="shared" si="10"/>
        <v>518</v>
      </c>
      <c r="I196" s="31">
        <f t="shared" si="11"/>
        <v>3.5959985838152297E-3</v>
      </c>
    </row>
    <row r="197" spans="1:9" x14ac:dyDescent="0.3">
      <c r="A197" s="12">
        <v>45901</v>
      </c>
      <c r="B197" s="25" t="s">
        <v>13</v>
      </c>
      <c r="C197" s="26">
        <v>1052</v>
      </c>
      <c r="D197" s="26">
        <v>180</v>
      </c>
      <c r="E197" s="26">
        <v>272534</v>
      </c>
      <c r="F197" s="27">
        <v>5.34</v>
      </c>
      <c r="G197" s="26">
        <v>13424</v>
      </c>
      <c r="H197" s="28">
        <f t="shared" si="10"/>
        <v>872</v>
      </c>
      <c r="I197" s="29">
        <f t="shared" si="11"/>
        <v>3.1996007837554212E-3</v>
      </c>
    </row>
    <row r="198" spans="1:9" x14ac:dyDescent="0.3">
      <c r="A198" s="11">
        <v>45901</v>
      </c>
      <c r="B198" s="20" t="s">
        <v>22</v>
      </c>
      <c r="C198" s="21">
        <v>572</v>
      </c>
      <c r="D198" s="21">
        <v>270</v>
      </c>
      <c r="E198" s="21">
        <v>82265</v>
      </c>
      <c r="F198" s="22">
        <v>3.65</v>
      </c>
      <c r="G198" s="21">
        <v>13140</v>
      </c>
      <c r="H198" s="30">
        <f t="shared" si="10"/>
        <v>302</v>
      </c>
      <c r="I198" s="31">
        <f t="shared" si="11"/>
        <v>3.6710630280192063E-3</v>
      </c>
    </row>
    <row r="199" spans="1:9" x14ac:dyDescent="0.3">
      <c r="A199" s="12">
        <v>45901</v>
      </c>
      <c r="B199" s="25" t="s">
        <v>28</v>
      </c>
      <c r="C199" s="26">
        <v>503</v>
      </c>
      <c r="D199" s="26">
        <v>253</v>
      </c>
      <c r="E199" s="26">
        <v>313562</v>
      </c>
      <c r="F199" s="27">
        <v>4.18</v>
      </c>
      <c r="G199" s="26">
        <v>19538</v>
      </c>
      <c r="H199" s="28">
        <f t="shared" si="10"/>
        <v>250</v>
      </c>
      <c r="I199" s="29">
        <f t="shared" si="11"/>
        <v>7.9729048800556194E-4</v>
      </c>
    </row>
    <row r="200" spans="1:9" x14ac:dyDescent="0.3">
      <c r="A200" s="11">
        <v>45908</v>
      </c>
      <c r="B200" s="20" t="s">
        <v>13</v>
      </c>
      <c r="C200" s="21">
        <v>1017</v>
      </c>
      <c r="D200" s="21">
        <v>197</v>
      </c>
      <c r="E200" s="21">
        <v>89918</v>
      </c>
      <c r="F200" s="22">
        <v>3.91</v>
      </c>
      <c r="G200" s="21">
        <v>7881</v>
      </c>
      <c r="H200" s="30">
        <f t="shared" si="10"/>
        <v>820</v>
      </c>
      <c r="I200" s="31">
        <f t="shared" si="11"/>
        <v>9.1194199159233963E-3</v>
      </c>
    </row>
    <row r="201" spans="1:9" x14ac:dyDescent="0.3">
      <c r="A201" s="13">
        <v>45908</v>
      </c>
      <c r="B201" s="32" t="s">
        <v>22</v>
      </c>
      <c r="C201" s="33">
        <v>860</v>
      </c>
      <c r="D201" s="33">
        <v>244</v>
      </c>
      <c r="E201" s="33">
        <v>348686</v>
      </c>
      <c r="F201" s="34">
        <v>5.12</v>
      </c>
      <c r="G201" s="33">
        <v>11418</v>
      </c>
      <c r="H201" s="35">
        <f t="shared" si="10"/>
        <v>616</v>
      </c>
      <c r="I201" s="36">
        <f t="shared" si="11"/>
        <v>1.7666324429429343E-3</v>
      </c>
    </row>
    <row r="203" spans="1:9" x14ac:dyDescent="0.3">
      <c r="H203"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DBD6-1473-4EF0-AB2C-A004C3A2E761}">
  <dimension ref="A1:H5"/>
  <sheetViews>
    <sheetView workbookViewId="0">
      <selection activeCell="D9" sqref="D9"/>
    </sheetView>
  </sheetViews>
  <sheetFormatPr defaultRowHeight="14.4" x14ac:dyDescent="0.3"/>
  <cols>
    <col min="1" max="1" width="17.5546875" style="2" bestFit="1" customWidth="1"/>
    <col min="2" max="2" width="12" style="1" bestFit="1" customWidth="1"/>
    <col min="3" max="3" width="11" style="1" bestFit="1" customWidth="1"/>
    <col min="4" max="4" width="15.109375" style="2" bestFit="1" customWidth="1"/>
    <col min="5" max="5" width="13.88671875" style="4" bestFit="1" customWidth="1"/>
    <col min="6" max="6" width="17.6640625" style="2" bestFit="1" customWidth="1"/>
    <col min="7" max="8" width="19.21875" style="2" bestFit="1" customWidth="1"/>
  </cols>
  <sheetData>
    <row r="1" spans="1:8" x14ac:dyDescent="0.3">
      <c r="A1" s="2" t="s">
        <v>11</v>
      </c>
      <c r="B1" s="1" t="s">
        <v>366</v>
      </c>
      <c r="C1" s="1" t="s">
        <v>367</v>
      </c>
      <c r="D1" s="2" t="s">
        <v>368</v>
      </c>
      <c r="E1" s="4" t="s">
        <v>369</v>
      </c>
      <c r="F1" s="2" t="s">
        <v>370</v>
      </c>
      <c r="G1" s="2" t="s">
        <v>397</v>
      </c>
      <c r="H1" s="2" t="s">
        <v>398</v>
      </c>
    </row>
    <row r="2" spans="1:8" x14ac:dyDescent="0.3">
      <c r="A2" s="2" t="s">
        <v>16</v>
      </c>
      <c r="B2" s="1">
        <v>45667</v>
      </c>
      <c r="C2" s="1">
        <v>45698</v>
      </c>
      <c r="D2" s="2" t="s">
        <v>375</v>
      </c>
      <c r="E2" s="4">
        <v>200000</v>
      </c>
      <c r="F2" s="2" t="s">
        <v>376</v>
      </c>
      <c r="G2" s="2" t="s">
        <v>395</v>
      </c>
      <c r="H2" s="2" t="s">
        <v>40</v>
      </c>
    </row>
    <row r="3" spans="1:8" x14ac:dyDescent="0.3">
      <c r="A3" s="2" t="s">
        <v>20</v>
      </c>
      <c r="B3" s="1">
        <v>45717</v>
      </c>
      <c r="C3" s="1">
        <v>45747</v>
      </c>
      <c r="D3" s="2" t="s">
        <v>377</v>
      </c>
      <c r="E3" s="4">
        <v>160000</v>
      </c>
      <c r="F3" s="2" t="s">
        <v>378</v>
      </c>
      <c r="G3" s="2" t="s">
        <v>19</v>
      </c>
      <c r="H3" s="2" t="s">
        <v>396</v>
      </c>
    </row>
    <row r="4" spans="1:8" x14ac:dyDescent="0.3">
      <c r="A4" s="2" t="s">
        <v>53</v>
      </c>
      <c r="B4" s="1">
        <v>45458</v>
      </c>
      <c r="C4" s="1">
        <v>45488</v>
      </c>
      <c r="D4" s="2" t="s">
        <v>371</v>
      </c>
      <c r="E4" s="4">
        <v>175000</v>
      </c>
      <c r="F4" s="2" t="s">
        <v>372</v>
      </c>
      <c r="G4" s="2" t="s">
        <v>338</v>
      </c>
      <c r="H4" s="2" t="s">
        <v>337</v>
      </c>
    </row>
    <row r="5" spans="1:8" x14ac:dyDescent="0.3">
      <c r="A5" s="2" t="s">
        <v>50</v>
      </c>
      <c r="B5" s="1">
        <v>45627</v>
      </c>
      <c r="C5" s="1">
        <v>45657</v>
      </c>
      <c r="D5" s="2" t="s">
        <v>373</v>
      </c>
      <c r="E5" s="4">
        <v>225000</v>
      </c>
      <c r="F5" s="2" t="s">
        <v>374</v>
      </c>
      <c r="G5" s="2" t="s">
        <v>338</v>
      </c>
      <c r="H5" s="2" t="s">
        <v>37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B7ECB-B2C0-493A-BA07-6D8AB9E22450}">
  <sheetPr codeName="Sheet3"/>
  <dimension ref="A1:C601"/>
  <sheetViews>
    <sheetView workbookViewId="0">
      <selection activeCell="E16" sqref="E16"/>
    </sheetView>
  </sheetViews>
  <sheetFormatPr defaultRowHeight="14.4" x14ac:dyDescent="0.3"/>
  <cols>
    <col min="1" max="1" width="16.77734375" bestFit="1" customWidth="1"/>
    <col min="2" max="2" width="15.33203125" style="14" bestFit="1" customWidth="1"/>
    <col min="3" max="3" width="8.88671875" style="4"/>
  </cols>
  <sheetData>
    <row r="1" spans="1:3" x14ac:dyDescent="0.3">
      <c r="A1" s="37" t="s">
        <v>359</v>
      </c>
      <c r="B1" s="116" t="s">
        <v>345</v>
      </c>
      <c r="C1" s="117" t="s">
        <v>10</v>
      </c>
    </row>
    <row r="2" spans="1:3" x14ac:dyDescent="0.3">
      <c r="A2" s="42" t="s">
        <v>40</v>
      </c>
      <c r="B2" s="83">
        <v>0.13200509890939993</v>
      </c>
      <c r="C2" s="113">
        <v>133</v>
      </c>
    </row>
    <row r="3" spans="1:3" x14ac:dyDescent="0.3">
      <c r="A3" s="42" t="s">
        <v>19</v>
      </c>
      <c r="B3" s="83">
        <v>8.7095334546328396E-2</v>
      </c>
      <c r="C3" s="113">
        <v>273</v>
      </c>
    </row>
    <row r="4" spans="1:3" x14ac:dyDescent="0.3">
      <c r="A4" s="45" t="s">
        <v>337</v>
      </c>
      <c r="B4" s="84">
        <v>7.0477352576105018E-2</v>
      </c>
      <c r="C4" s="114">
        <v>121</v>
      </c>
    </row>
    <row r="5" spans="1:3" x14ac:dyDescent="0.3">
      <c r="A5" s="45" t="s">
        <v>40</v>
      </c>
      <c r="B5" s="84">
        <v>0.1215714092690177</v>
      </c>
      <c r="C5" s="114">
        <v>272</v>
      </c>
    </row>
    <row r="6" spans="1:3" x14ac:dyDescent="0.3">
      <c r="A6" s="45" t="s">
        <v>19</v>
      </c>
      <c r="B6" s="84">
        <v>0.1314700217204213</v>
      </c>
      <c r="C6" s="114">
        <v>200</v>
      </c>
    </row>
    <row r="7" spans="1:3" x14ac:dyDescent="0.3">
      <c r="A7" s="45" t="s">
        <v>19</v>
      </c>
      <c r="B7" s="84">
        <v>7.4828079253761837E-2</v>
      </c>
      <c r="C7" s="114">
        <v>149</v>
      </c>
    </row>
    <row r="8" spans="1:3" x14ac:dyDescent="0.3">
      <c r="A8" s="42" t="s">
        <v>40</v>
      </c>
      <c r="B8" s="83">
        <v>0.26064752360763155</v>
      </c>
      <c r="C8" s="113">
        <v>212</v>
      </c>
    </row>
    <row r="9" spans="1:3" x14ac:dyDescent="0.3">
      <c r="A9" s="45" t="s">
        <v>19</v>
      </c>
      <c r="B9" s="84">
        <v>8.7100435029317191E-2</v>
      </c>
      <c r="C9" s="114">
        <v>120</v>
      </c>
    </row>
    <row r="10" spans="1:3" x14ac:dyDescent="0.3">
      <c r="A10" s="45" t="s">
        <v>37</v>
      </c>
      <c r="B10" s="84">
        <v>8.3943337400027115E-2</v>
      </c>
      <c r="C10" s="114">
        <v>171</v>
      </c>
    </row>
    <row r="11" spans="1:3" x14ac:dyDescent="0.3">
      <c r="A11" s="45" t="s">
        <v>37</v>
      </c>
      <c r="B11" s="84">
        <v>0.12997310581470833</v>
      </c>
      <c r="C11" s="114">
        <v>284</v>
      </c>
    </row>
    <row r="12" spans="1:3" x14ac:dyDescent="0.3">
      <c r="A12" s="45" t="s">
        <v>40</v>
      </c>
      <c r="B12" s="84">
        <v>8.4525482181632389E-2</v>
      </c>
      <c r="C12" s="114">
        <v>88</v>
      </c>
    </row>
    <row r="13" spans="1:3" x14ac:dyDescent="0.3">
      <c r="A13" s="42" t="s">
        <v>40</v>
      </c>
      <c r="B13" s="83">
        <v>5.4191936281527367E-2</v>
      </c>
      <c r="C13" s="113">
        <v>86</v>
      </c>
    </row>
    <row r="14" spans="1:3" x14ac:dyDescent="0.3">
      <c r="A14" s="42" t="s">
        <v>337</v>
      </c>
      <c r="B14" s="83">
        <v>7.4550393727863554E-2</v>
      </c>
      <c r="C14" s="113">
        <v>213</v>
      </c>
    </row>
    <row r="15" spans="1:3" x14ac:dyDescent="0.3">
      <c r="A15" s="42" t="s">
        <v>37</v>
      </c>
      <c r="B15" s="83">
        <v>8.5063484278785892E-2</v>
      </c>
      <c r="C15" s="113">
        <v>264</v>
      </c>
    </row>
    <row r="16" spans="1:3" x14ac:dyDescent="0.3">
      <c r="A16" s="42" t="s">
        <v>37</v>
      </c>
      <c r="B16" s="83">
        <v>0.11274405206444041</v>
      </c>
      <c r="C16" s="113">
        <v>179</v>
      </c>
    </row>
    <row r="17" spans="1:3" x14ac:dyDescent="0.3">
      <c r="A17" s="42" t="s">
        <v>337</v>
      </c>
      <c r="B17" s="83">
        <v>9.3810966751068869E-2</v>
      </c>
      <c r="C17" s="113">
        <v>172</v>
      </c>
    </row>
    <row r="18" spans="1:3" x14ac:dyDescent="0.3">
      <c r="A18" s="42" t="s">
        <v>37</v>
      </c>
      <c r="B18" s="83">
        <v>4.7214969538729328E-2</v>
      </c>
      <c r="C18" s="113">
        <v>83</v>
      </c>
    </row>
    <row r="19" spans="1:3" x14ac:dyDescent="0.3">
      <c r="A19" s="45" t="s">
        <v>37</v>
      </c>
      <c r="B19" s="84">
        <v>0.1408079806679472</v>
      </c>
      <c r="C19" s="114">
        <v>235</v>
      </c>
    </row>
    <row r="20" spans="1:3" x14ac:dyDescent="0.3">
      <c r="A20" s="42" t="s">
        <v>19</v>
      </c>
      <c r="B20" s="83">
        <v>6.4255640042732362E-2</v>
      </c>
      <c r="C20" s="113">
        <v>95</v>
      </c>
    </row>
    <row r="21" spans="1:3" x14ac:dyDescent="0.3">
      <c r="A21" s="42" t="s">
        <v>19</v>
      </c>
      <c r="B21" s="83">
        <v>0.15347655981879332</v>
      </c>
      <c r="C21" s="113">
        <v>90</v>
      </c>
    </row>
    <row r="22" spans="1:3" x14ac:dyDescent="0.3">
      <c r="A22" s="42" t="s">
        <v>37</v>
      </c>
      <c r="B22" s="83">
        <v>4.3543867212761371E-2</v>
      </c>
      <c r="C22" s="113">
        <v>230</v>
      </c>
    </row>
    <row r="23" spans="1:3" x14ac:dyDescent="0.3">
      <c r="A23" s="45" t="s">
        <v>40</v>
      </c>
      <c r="B23" s="84">
        <v>0.19548583208133888</v>
      </c>
      <c r="C23" s="114">
        <v>84</v>
      </c>
    </row>
    <row r="24" spans="1:3" x14ac:dyDescent="0.3">
      <c r="A24" s="45" t="s">
        <v>19</v>
      </c>
      <c r="B24" s="84">
        <v>8.0047619047619048E-2</v>
      </c>
      <c r="C24" s="114">
        <v>103</v>
      </c>
    </row>
    <row r="25" spans="1:3" x14ac:dyDescent="0.3">
      <c r="A25" s="42" t="s">
        <v>40</v>
      </c>
      <c r="B25" s="83">
        <v>0.11026748397882419</v>
      </c>
      <c r="C25" s="113">
        <v>174</v>
      </c>
    </row>
    <row r="26" spans="1:3" x14ac:dyDescent="0.3">
      <c r="A26" s="45" t="s">
        <v>19</v>
      </c>
      <c r="B26" s="84">
        <v>8.1036535115831879E-2</v>
      </c>
      <c r="C26" s="114">
        <v>232</v>
      </c>
    </row>
    <row r="27" spans="1:3" x14ac:dyDescent="0.3">
      <c r="A27" s="42" t="s">
        <v>19</v>
      </c>
      <c r="B27" s="83">
        <v>5.173411449857148E-2</v>
      </c>
      <c r="C27" s="113">
        <v>147</v>
      </c>
    </row>
    <row r="28" spans="1:3" x14ac:dyDescent="0.3">
      <c r="A28" s="42" t="s">
        <v>40</v>
      </c>
      <c r="B28" s="83">
        <v>0.11363049929041415</v>
      </c>
      <c r="C28" s="113">
        <v>268</v>
      </c>
    </row>
    <row r="29" spans="1:3" x14ac:dyDescent="0.3">
      <c r="A29" s="42" t="s">
        <v>19</v>
      </c>
      <c r="B29" s="83">
        <v>8.205676046117874E-2</v>
      </c>
      <c r="C29" s="113">
        <v>206</v>
      </c>
    </row>
    <row r="30" spans="1:3" x14ac:dyDescent="0.3">
      <c r="A30" s="42" t="s">
        <v>337</v>
      </c>
      <c r="B30" s="83">
        <v>6.9526910553533799E-2</v>
      </c>
      <c r="C30" s="113">
        <v>202</v>
      </c>
    </row>
    <row r="31" spans="1:3" x14ac:dyDescent="0.3">
      <c r="A31" s="42" t="s">
        <v>37</v>
      </c>
      <c r="B31" s="83">
        <v>0.10399399962497656</v>
      </c>
      <c r="C31" s="113">
        <v>197</v>
      </c>
    </row>
    <row r="32" spans="1:3" x14ac:dyDescent="0.3">
      <c r="A32" s="45" t="s">
        <v>40</v>
      </c>
      <c r="B32" s="84">
        <v>8.0484684812735408E-2</v>
      </c>
      <c r="C32" s="114">
        <v>279</v>
      </c>
    </row>
    <row r="33" spans="1:3" x14ac:dyDescent="0.3">
      <c r="A33" s="42" t="s">
        <v>40</v>
      </c>
      <c r="B33" s="83">
        <v>7.519889311656866E-2</v>
      </c>
      <c r="C33" s="113">
        <v>138</v>
      </c>
    </row>
    <row r="34" spans="1:3" x14ac:dyDescent="0.3">
      <c r="A34" s="42" t="s">
        <v>19</v>
      </c>
      <c r="B34" s="83">
        <v>0.16177247444144061</v>
      </c>
      <c r="C34" s="113">
        <v>289</v>
      </c>
    </row>
    <row r="35" spans="1:3" x14ac:dyDescent="0.3">
      <c r="A35" s="45" t="s">
        <v>40</v>
      </c>
      <c r="B35" s="84">
        <v>4.4299315445747112E-2</v>
      </c>
      <c r="C35" s="114">
        <v>287</v>
      </c>
    </row>
    <row r="36" spans="1:3" x14ac:dyDescent="0.3">
      <c r="A36" s="45" t="s">
        <v>337</v>
      </c>
      <c r="B36" s="84">
        <v>9.7668038408779148E-2</v>
      </c>
      <c r="C36" s="114">
        <v>265</v>
      </c>
    </row>
    <row r="37" spans="1:3" x14ac:dyDescent="0.3">
      <c r="A37" s="42" t="s">
        <v>19</v>
      </c>
      <c r="B37" s="83">
        <v>6.3600055728416843E-2</v>
      </c>
      <c r="C37" s="113">
        <v>80</v>
      </c>
    </row>
    <row r="38" spans="1:3" x14ac:dyDescent="0.3">
      <c r="A38" s="42" t="s">
        <v>337</v>
      </c>
      <c r="B38" s="83">
        <v>0.10772626931567329</v>
      </c>
      <c r="C38" s="113">
        <v>80</v>
      </c>
    </row>
    <row r="39" spans="1:3" x14ac:dyDescent="0.3">
      <c r="A39" s="45" t="s">
        <v>37</v>
      </c>
      <c r="B39" s="84">
        <v>3.9122543637545096E-2</v>
      </c>
      <c r="C39" s="114">
        <v>195</v>
      </c>
    </row>
    <row r="40" spans="1:3" x14ac:dyDescent="0.3">
      <c r="A40" s="42" t="s">
        <v>19</v>
      </c>
      <c r="B40" s="83">
        <v>3.9913595142645857E-2</v>
      </c>
      <c r="C40" s="113">
        <v>133</v>
      </c>
    </row>
    <row r="41" spans="1:3" x14ac:dyDescent="0.3">
      <c r="A41" s="45" t="s">
        <v>37</v>
      </c>
      <c r="B41" s="84">
        <v>0.14436927106067218</v>
      </c>
      <c r="C41" s="114">
        <v>125</v>
      </c>
    </row>
    <row r="42" spans="1:3" x14ac:dyDescent="0.3">
      <c r="A42" s="42" t="s">
        <v>40</v>
      </c>
      <c r="B42" s="83">
        <v>0.10863928268508422</v>
      </c>
      <c r="C42" s="113">
        <v>275</v>
      </c>
    </row>
    <row r="43" spans="1:3" x14ac:dyDescent="0.3">
      <c r="A43" s="45" t="s">
        <v>37</v>
      </c>
      <c r="B43" s="84">
        <v>9.379528682585335E-2</v>
      </c>
      <c r="C43" s="114">
        <v>211</v>
      </c>
    </row>
    <row r="44" spans="1:3" x14ac:dyDescent="0.3">
      <c r="A44" s="45" t="s">
        <v>40</v>
      </c>
      <c r="B44" s="84">
        <v>0.11750707750379519</v>
      </c>
      <c r="C44" s="114">
        <v>154</v>
      </c>
    </row>
    <row r="45" spans="1:3" x14ac:dyDescent="0.3">
      <c r="A45" s="45" t="s">
        <v>19</v>
      </c>
      <c r="B45" s="84">
        <v>3.9937155714174881E-2</v>
      </c>
      <c r="C45" s="114">
        <v>290</v>
      </c>
    </row>
    <row r="46" spans="1:3" x14ac:dyDescent="0.3">
      <c r="A46" s="45" t="s">
        <v>19</v>
      </c>
      <c r="B46" s="84">
        <v>0.11613367267898639</v>
      </c>
      <c r="C46" s="114">
        <v>201</v>
      </c>
    </row>
    <row r="47" spans="1:3" x14ac:dyDescent="0.3">
      <c r="A47" s="45" t="s">
        <v>19</v>
      </c>
      <c r="B47" s="84">
        <v>0.14600091693410577</v>
      </c>
      <c r="C47" s="114">
        <v>92</v>
      </c>
    </row>
    <row r="48" spans="1:3" x14ac:dyDescent="0.3">
      <c r="A48" s="42" t="s">
        <v>19</v>
      </c>
      <c r="B48" s="83">
        <v>9.8072192379135503E-2</v>
      </c>
      <c r="C48" s="113">
        <v>120</v>
      </c>
    </row>
    <row r="49" spans="1:3" x14ac:dyDescent="0.3">
      <c r="A49" s="45" t="s">
        <v>37</v>
      </c>
      <c r="B49" s="84">
        <v>0.15735977431131762</v>
      </c>
      <c r="C49" s="114">
        <v>213</v>
      </c>
    </row>
    <row r="50" spans="1:3" x14ac:dyDescent="0.3">
      <c r="A50" s="45" t="s">
        <v>19</v>
      </c>
      <c r="B50" s="84">
        <v>0.1087862256289851</v>
      </c>
      <c r="C50" s="114">
        <v>191</v>
      </c>
    </row>
    <row r="51" spans="1:3" x14ac:dyDescent="0.3">
      <c r="A51" s="42" t="s">
        <v>37</v>
      </c>
      <c r="B51" s="83">
        <v>0.20241060666934513</v>
      </c>
      <c r="C51" s="113">
        <v>148</v>
      </c>
    </row>
    <row r="52" spans="1:3" x14ac:dyDescent="0.3">
      <c r="A52" s="45" t="s">
        <v>19</v>
      </c>
      <c r="B52" s="84">
        <v>0.10249760265016128</v>
      </c>
      <c r="C52" s="114">
        <v>215</v>
      </c>
    </row>
    <row r="53" spans="1:3" x14ac:dyDescent="0.3">
      <c r="A53" s="45" t="s">
        <v>19</v>
      </c>
      <c r="B53" s="84">
        <v>0.15227535227535227</v>
      </c>
      <c r="C53" s="114">
        <v>261</v>
      </c>
    </row>
    <row r="54" spans="1:3" x14ac:dyDescent="0.3">
      <c r="A54" s="45" t="s">
        <v>337</v>
      </c>
      <c r="B54" s="84">
        <v>5.8723551855705859E-2</v>
      </c>
      <c r="C54" s="114">
        <v>87</v>
      </c>
    </row>
    <row r="55" spans="1:3" x14ac:dyDescent="0.3">
      <c r="A55" s="42" t="s">
        <v>19</v>
      </c>
      <c r="B55" s="83">
        <v>9.5101162290142052E-2</v>
      </c>
      <c r="C55" s="113">
        <v>239</v>
      </c>
    </row>
    <row r="56" spans="1:3" x14ac:dyDescent="0.3">
      <c r="A56" s="42" t="s">
        <v>37</v>
      </c>
      <c r="B56" s="83">
        <v>4.781732706514439E-2</v>
      </c>
      <c r="C56" s="113">
        <v>190</v>
      </c>
    </row>
    <row r="57" spans="1:3" x14ac:dyDescent="0.3">
      <c r="A57" s="45" t="s">
        <v>37</v>
      </c>
      <c r="B57" s="84">
        <v>0.13885094758408742</v>
      </c>
      <c r="C57" s="114">
        <v>259</v>
      </c>
    </row>
    <row r="58" spans="1:3" x14ac:dyDescent="0.3">
      <c r="A58" s="42" t="s">
        <v>19</v>
      </c>
      <c r="B58" s="83">
        <v>0.10600966926007749</v>
      </c>
      <c r="C58" s="113">
        <v>291</v>
      </c>
    </row>
    <row r="59" spans="1:3" x14ac:dyDescent="0.3">
      <c r="A59" s="42" t="s">
        <v>19</v>
      </c>
      <c r="B59" s="83">
        <v>8.8283323127168814E-2</v>
      </c>
      <c r="C59" s="113">
        <v>177</v>
      </c>
    </row>
    <row r="60" spans="1:3" x14ac:dyDescent="0.3">
      <c r="A60" s="45" t="s">
        <v>19</v>
      </c>
      <c r="B60" s="84">
        <v>2.50275284149232E-2</v>
      </c>
      <c r="C60" s="114">
        <v>220</v>
      </c>
    </row>
    <row r="61" spans="1:3" x14ac:dyDescent="0.3">
      <c r="A61" s="42" t="s">
        <v>19</v>
      </c>
      <c r="B61" s="83">
        <v>0.11124541239039185</v>
      </c>
      <c r="C61" s="113">
        <v>116</v>
      </c>
    </row>
    <row r="62" spans="1:3" x14ac:dyDescent="0.3">
      <c r="A62" s="42" t="s">
        <v>19</v>
      </c>
      <c r="B62" s="83">
        <v>8.8087436599488311E-2</v>
      </c>
      <c r="C62" s="113">
        <v>171</v>
      </c>
    </row>
    <row r="63" spans="1:3" x14ac:dyDescent="0.3">
      <c r="A63" s="45" t="s">
        <v>337</v>
      </c>
      <c r="B63" s="84">
        <v>4.3619068768968837E-2</v>
      </c>
      <c r="C63" s="114">
        <v>182</v>
      </c>
    </row>
    <row r="64" spans="1:3" x14ac:dyDescent="0.3">
      <c r="A64" s="45" t="s">
        <v>40</v>
      </c>
      <c r="B64" s="84">
        <v>3.6351938233874857E-2</v>
      </c>
      <c r="C64" s="114">
        <v>237</v>
      </c>
    </row>
    <row r="65" spans="1:3" x14ac:dyDescent="0.3">
      <c r="A65" s="42" t="s">
        <v>337</v>
      </c>
      <c r="B65" s="83">
        <v>9.2093661212893113E-2</v>
      </c>
      <c r="C65" s="113">
        <v>205</v>
      </c>
    </row>
    <row r="66" spans="1:3" x14ac:dyDescent="0.3">
      <c r="A66" s="42" t="s">
        <v>19</v>
      </c>
      <c r="B66" s="83">
        <v>3.5777344113000653E-2</v>
      </c>
      <c r="C66" s="113">
        <v>109</v>
      </c>
    </row>
    <row r="67" spans="1:3" x14ac:dyDescent="0.3">
      <c r="A67" s="45" t="s">
        <v>40</v>
      </c>
      <c r="B67" s="84">
        <v>9.0267383317458164E-2</v>
      </c>
      <c r="C67" s="114">
        <v>227</v>
      </c>
    </row>
    <row r="68" spans="1:3" x14ac:dyDescent="0.3">
      <c r="A68" s="45" t="s">
        <v>19</v>
      </c>
      <c r="B68" s="84">
        <v>0.17658969920637513</v>
      </c>
      <c r="C68" s="114">
        <v>267</v>
      </c>
    </row>
    <row r="69" spans="1:3" x14ac:dyDescent="0.3">
      <c r="A69" s="45" t="s">
        <v>40</v>
      </c>
      <c r="B69" s="84">
        <v>0.18517978620019437</v>
      </c>
      <c r="C69" s="114">
        <v>221</v>
      </c>
    </row>
    <row r="70" spans="1:3" x14ac:dyDescent="0.3">
      <c r="A70" s="42" t="s">
        <v>19</v>
      </c>
      <c r="B70" s="83">
        <v>4.6406515707509172E-2</v>
      </c>
      <c r="C70" s="113">
        <v>227</v>
      </c>
    </row>
    <row r="71" spans="1:3" x14ac:dyDescent="0.3">
      <c r="A71" s="42" t="s">
        <v>37</v>
      </c>
      <c r="B71" s="83">
        <v>0.10657378184897237</v>
      </c>
      <c r="C71" s="113">
        <v>107</v>
      </c>
    </row>
    <row r="72" spans="1:3" x14ac:dyDescent="0.3">
      <c r="A72" s="45" t="s">
        <v>40</v>
      </c>
      <c r="B72" s="84">
        <v>0.1607525766064882</v>
      </c>
      <c r="C72" s="114">
        <v>135</v>
      </c>
    </row>
    <row r="73" spans="1:3" x14ac:dyDescent="0.3">
      <c r="A73" s="42" t="s">
        <v>19</v>
      </c>
      <c r="B73" s="83">
        <v>8.1549489395129612E-2</v>
      </c>
      <c r="C73" s="113">
        <v>193</v>
      </c>
    </row>
    <row r="74" spans="1:3" x14ac:dyDescent="0.3">
      <c r="A74" s="42" t="s">
        <v>19</v>
      </c>
      <c r="B74" s="83">
        <v>5.2042268944371438E-2</v>
      </c>
      <c r="C74" s="113">
        <v>270</v>
      </c>
    </row>
    <row r="75" spans="1:3" x14ac:dyDescent="0.3">
      <c r="A75" s="45" t="s">
        <v>19</v>
      </c>
      <c r="B75" s="84">
        <v>4.0418432004799221E-2</v>
      </c>
      <c r="C75" s="114">
        <v>88</v>
      </c>
    </row>
    <row r="76" spans="1:3" x14ac:dyDescent="0.3">
      <c r="A76" s="45" t="s">
        <v>40</v>
      </c>
      <c r="B76" s="84">
        <v>5.1660428636136076E-2</v>
      </c>
      <c r="C76" s="114">
        <v>101</v>
      </c>
    </row>
    <row r="77" spans="1:3" x14ac:dyDescent="0.3">
      <c r="A77" s="45" t="s">
        <v>19</v>
      </c>
      <c r="B77" s="84">
        <v>7.611534979956032E-2</v>
      </c>
      <c r="C77" s="114">
        <v>207</v>
      </c>
    </row>
    <row r="78" spans="1:3" x14ac:dyDescent="0.3">
      <c r="A78" s="45" t="s">
        <v>37</v>
      </c>
      <c r="B78" s="84">
        <v>9.6080290300434801E-2</v>
      </c>
      <c r="C78" s="114">
        <v>88</v>
      </c>
    </row>
    <row r="79" spans="1:3" x14ac:dyDescent="0.3">
      <c r="A79" s="42" t="s">
        <v>337</v>
      </c>
      <c r="B79" s="83">
        <v>0.13476527900797167</v>
      </c>
      <c r="C79" s="113">
        <v>109</v>
      </c>
    </row>
    <row r="80" spans="1:3" x14ac:dyDescent="0.3">
      <c r="A80" s="45" t="s">
        <v>19</v>
      </c>
      <c r="B80" s="84">
        <v>0.14335162515829464</v>
      </c>
      <c r="C80" s="114">
        <v>128</v>
      </c>
    </row>
    <row r="81" spans="1:3" x14ac:dyDescent="0.3">
      <c r="A81" s="45" t="s">
        <v>40</v>
      </c>
      <c r="B81" s="84">
        <v>7.3021390374331557E-2</v>
      </c>
      <c r="C81" s="114">
        <v>157</v>
      </c>
    </row>
    <row r="82" spans="1:3" x14ac:dyDescent="0.3">
      <c r="A82" s="45" t="s">
        <v>40</v>
      </c>
      <c r="B82" s="84">
        <v>8.8232696960599044E-2</v>
      </c>
      <c r="C82" s="114">
        <v>184</v>
      </c>
    </row>
    <row r="83" spans="1:3" x14ac:dyDescent="0.3">
      <c r="A83" s="45" t="s">
        <v>19</v>
      </c>
      <c r="B83" s="84">
        <v>5.9312714776632303E-2</v>
      </c>
      <c r="C83" s="114">
        <v>182</v>
      </c>
    </row>
    <row r="84" spans="1:3" x14ac:dyDescent="0.3">
      <c r="A84" s="45" t="s">
        <v>40</v>
      </c>
      <c r="B84" s="84">
        <v>0.1471166637746544</v>
      </c>
      <c r="C84" s="114">
        <v>180</v>
      </c>
    </row>
    <row r="85" spans="1:3" x14ac:dyDescent="0.3">
      <c r="A85" s="45" t="s">
        <v>37</v>
      </c>
      <c r="B85" s="84">
        <v>0.16283364109451065</v>
      </c>
      <c r="C85" s="114">
        <v>122</v>
      </c>
    </row>
    <row r="86" spans="1:3" x14ac:dyDescent="0.3">
      <c r="A86" s="42" t="s">
        <v>40</v>
      </c>
      <c r="B86" s="83">
        <v>6.0050273034584378E-2</v>
      </c>
      <c r="C86" s="113">
        <v>264</v>
      </c>
    </row>
    <row r="87" spans="1:3" x14ac:dyDescent="0.3">
      <c r="A87" s="42" t="s">
        <v>40</v>
      </c>
      <c r="B87" s="83">
        <v>4.4438295517432211E-2</v>
      </c>
      <c r="C87" s="113">
        <v>169</v>
      </c>
    </row>
    <row r="88" spans="1:3" x14ac:dyDescent="0.3">
      <c r="A88" s="45" t="s">
        <v>40</v>
      </c>
      <c r="B88" s="84">
        <v>6.1158416768035934E-2</v>
      </c>
      <c r="C88" s="114">
        <v>160</v>
      </c>
    </row>
    <row r="89" spans="1:3" x14ac:dyDescent="0.3">
      <c r="A89" s="42" t="s">
        <v>40</v>
      </c>
      <c r="B89" s="83">
        <v>0.18086628511966701</v>
      </c>
      <c r="C89" s="113">
        <v>298</v>
      </c>
    </row>
    <row r="90" spans="1:3" x14ac:dyDescent="0.3">
      <c r="A90" s="42" t="s">
        <v>40</v>
      </c>
      <c r="B90" s="83">
        <v>9.8770390509144837E-2</v>
      </c>
      <c r="C90" s="113">
        <v>120</v>
      </c>
    </row>
    <row r="91" spans="1:3" x14ac:dyDescent="0.3">
      <c r="A91" s="42" t="s">
        <v>337</v>
      </c>
      <c r="B91" s="83">
        <v>0.17642537414658407</v>
      </c>
      <c r="C91" s="113">
        <v>160</v>
      </c>
    </row>
    <row r="92" spans="1:3" x14ac:dyDescent="0.3">
      <c r="A92" s="45" t="s">
        <v>40</v>
      </c>
      <c r="B92" s="84">
        <v>7.8512996756861422E-2</v>
      </c>
      <c r="C92" s="114">
        <v>111</v>
      </c>
    </row>
    <row r="93" spans="1:3" x14ac:dyDescent="0.3">
      <c r="A93" s="42" t="s">
        <v>19</v>
      </c>
      <c r="B93" s="83">
        <v>7.974671020085089E-2</v>
      </c>
      <c r="C93" s="113">
        <v>82</v>
      </c>
    </row>
    <row r="94" spans="1:3" x14ac:dyDescent="0.3">
      <c r="A94" s="45" t="s">
        <v>19</v>
      </c>
      <c r="B94" s="84">
        <v>6.3999063999063993E-2</v>
      </c>
      <c r="C94" s="114">
        <v>169</v>
      </c>
    </row>
    <row r="95" spans="1:3" x14ac:dyDescent="0.3">
      <c r="A95" s="42" t="s">
        <v>40</v>
      </c>
      <c r="B95" s="83">
        <v>0.1439786294499264</v>
      </c>
      <c r="C95" s="113">
        <v>98</v>
      </c>
    </row>
    <row r="96" spans="1:3" x14ac:dyDescent="0.3">
      <c r="A96" s="42" t="s">
        <v>37</v>
      </c>
      <c r="B96" s="83">
        <v>0.14130742382794076</v>
      </c>
      <c r="C96" s="113">
        <v>241</v>
      </c>
    </row>
    <row r="97" spans="1:3" x14ac:dyDescent="0.3">
      <c r="A97" s="45" t="s">
        <v>40</v>
      </c>
      <c r="B97" s="84">
        <v>0.13528464682326713</v>
      </c>
      <c r="C97" s="114">
        <v>114</v>
      </c>
    </row>
    <row r="98" spans="1:3" x14ac:dyDescent="0.3">
      <c r="A98" s="45" t="s">
        <v>19</v>
      </c>
      <c r="B98" s="84">
        <v>0.10550008380623997</v>
      </c>
      <c r="C98" s="114">
        <v>191</v>
      </c>
    </row>
    <row r="99" spans="1:3" x14ac:dyDescent="0.3">
      <c r="A99" s="42" t="s">
        <v>19</v>
      </c>
      <c r="B99" s="83">
        <v>9.4690354648038683E-2</v>
      </c>
      <c r="C99" s="113">
        <v>157</v>
      </c>
    </row>
    <row r="100" spans="1:3" x14ac:dyDescent="0.3">
      <c r="A100" s="42" t="s">
        <v>37</v>
      </c>
      <c r="B100" s="83">
        <v>6.934441139598338E-2</v>
      </c>
      <c r="C100" s="113">
        <v>258</v>
      </c>
    </row>
    <row r="101" spans="1:3" x14ac:dyDescent="0.3">
      <c r="A101" s="42" t="s">
        <v>19</v>
      </c>
      <c r="B101" s="83">
        <v>0.10077583818232197</v>
      </c>
      <c r="C101" s="113">
        <v>181</v>
      </c>
    </row>
    <row r="102" spans="1:3" x14ac:dyDescent="0.3">
      <c r="A102" s="42" t="s">
        <v>37</v>
      </c>
      <c r="B102" s="83">
        <v>8.2866791077934779E-2</v>
      </c>
      <c r="C102" s="113">
        <v>218</v>
      </c>
    </row>
    <row r="103" spans="1:3" x14ac:dyDescent="0.3">
      <c r="A103" s="42" t="s">
        <v>37</v>
      </c>
      <c r="B103" s="83">
        <v>0.14485195154777927</v>
      </c>
      <c r="C103" s="113">
        <v>282</v>
      </c>
    </row>
    <row r="104" spans="1:3" x14ac:dyDescent="0.3">
      <c r="A104" s="45" t="s">
        <v>40</v>
      </c>
      <c r="B104" s="84">
        <v>6.6614370881706936E-2</v>
      </c>
      <c r="C104" s="114">
        <v>263</v>
      </c>
    </row>
    <row r="105" spans="1:3" x14ac:dyDescent="0.3">
      <c r="A105" s="45" t="s">
        <v>19</v>
      </c>
      <c r="B105" s="84">
        <v>8.8705674736667947E-2</v>
      </c>
      <c r="C105" s="114">
        <v>132</v>
      </c>
    </row>
    <row r="106" spans="1:3" x14ac:dyDescent="0.3">
      <c r="A106" s="45" t="s">
        <v>37</v>
      </c>
      <c r="B106" s="84">
        <v>6.2084853138798232E-2</v>
      </c>
      <c r="C106" s="114">
        <v>133</v>
      </c>
    </row>
    <row r="107" spans="1:3" x14ac:dyDescent="0.3">
      <c r="A107" s="45" t="s">
        <v>40</v>
      </c>
      <c r="B107" s="84">
        <v>0.23193025217961938</v>
      </c>
      <c r="C107" s="114">
        <v>91</v>
      </c>
    </row>
    <row r="108" spans="1:3" x14ac:dyDescent="0.3">
      <c r="A108" s="42" t="s">
        <v>40</v>
      </c>
      <c r="B108" s="83">
        <v>8.6598679355949518E-2</v>
      </c>
      <c r="C108" s="113">
        <v>102</v>
      </c>
    </row>
    <row r="109" spans="1:3" x14ac:dyDescent="0.3">
      <c r="A109" s="42" t="s">
        <v>19</v>
      </c>
      <c r="B109" s="83">
        <v>0.10949965468790931</v>
      </c>
      <c r="C109" s="113">
        <v>118</v>
      </c>
    </row>
    <row r="110" spans="1:3" x14ac:dyDescent="0.3">
      <c r="A110" s="42" t="s">
        <v>40</v>
      </c>
      <c r="B110" s="83">
        <v>0.13838335084182732</v>
      </c>
      <c r="C110" s="113">
        <v>164</v>
      </c>
    </row>
    <row r="111" spans="1:3" x14ac:dyDescent="0.3">
      <c r="A111" s="42" t="s">
        <v>19</v>
      </c>
      <c r="B111" s="83">
        <v>0.16033389770445328</v>
      </c>
      <c r="C111" s="113">
        <v>131</v>
      </c>
    </row>
    <row r="112" spans="1:3" x14ac:dyDescent="0.3">
      <c r="A112" s="45" t="s">
        <v>19</v>
      </c>
      <c r="B112" s="84">
        <v>0.16641897515158721</v>
      </c>
      <c r="C112" s="114">
        <v>194</v>
      </c>
    </row>
    <row r="113" spans="1:3" x14ac:dyDescent="0.3">
      <c r="A113" s="42" t="s">
        <v>40</v>
      </c>
      <c r="B113" s="83">
        <v>5.2993862995521647E-2</v>
      </c>
      <c r="C113" s="113">
        <v>170</v>
      </c>
    </row>
    <row r="114" spans="1:3" x14ac:dyDescent="0.3">
      <c r="A114" s="45" t="s">
        <v>40</v>
      </c>
      <c r="B114" s="84">
        <v>3.9674653122814763E-2</v>
      </c>
      <c r="C114" s="114">
        <v>282</v>
      </c>
    </row>
    <row r="115" spans="1:3" x14ac:dyDescent="0.3">
      <c r="A115" s="42" t="s">
        <v>37</v>
      </c>
      <c r="B115" s="83">
        <v>5.1173769923769923E-2</v>
      </c>
      <c r="C115" s="113">
        <v>141</v>
      </c>
    </row>
    <row r="116" spans="1:3" x14ac:dyDescent="0.3">
      <c r="A116" s="42" t="s">
        <v>19</v>
      </c>
      <c r="B116" s="83">
        <v>8.6978468608031198E-2</v>
      </c>
      <c r="C116" s="113">
        <v>251</v>
      </c>
    </row>
    <row r="117" spans="1:3" x14ac:dyDescent="0.3">
      <c r="A117" s="45" t="s">
        <v>37</v>
      </c>
      <c r="B117" s="84">
        <v>4.9881554861634543E-2</v>
      </c>
      <c r="C117" s="114">
        <v>245</v>
      </c>
    </row>
    <row r="118" spans="1:3" x14ac:dyDescent="0.3">
      <c r="A118" s="45" t="s">
        <v>37</v>
      </c>
      <c r="B118" s="84">
        <v>3.4977365592309385E-2</v>
      </c>
      <c r="C118" s="114">
        <v>211</v>
      </c>
    </row>
    <row r="119" spans="1:3" x14ac:dyDescent="0.3">
      <c r="A119" s="42" t="s">
        <v>19</v>
      </c>
      <c r="B119" s="83">
        <v>4.1192869195216787E-2</v>
      </c>
      <c r="C119" s="113">
        <v>195</v>
      </c>
    </row>
    <row r="120" spans="1:3" x14ac:dyDescent="0.3">
      <c r="A120" s="45" t="s">
        <v>337</v>
      </c>
      <c r="B120" s="84">
        <v>5.7963823356939871E-2</v>
      </c>
      <c r="C120" s="114">
        <v>176</v>
      </c>
    </row>
    <row r="121" spans="1:3" x14ac:dyDescent="0.3">
      <c r="A121" s="45" t="s">
        <v>19</v>
      </c>
      <c r="B121" s="84">
        <v>4.7099090384865788E-2</v>
      </c>
      <c r="C121" s="114">
        <v>277</v>
      </c>
    </row>
    <row r="122" spans="1:3" x14ac:dyDescent="0.3">
      <c r="A122" s="45" t="s">
        <v>37</v>
      </c>
      <c r="B122" s="84">
        <v>9.3980281287635997E-2</v>
      </c>
      <c r="C122" s="114">
        <v>200</v>
      </c>
    </row>
    <row r="123" spans="1:3" x14ac:dyDescent="0.3">
      <c r="A123" s="42" t="s">
        <v>19</v>
      </c>
      <c r="B123" s="83">
        <v>3.5847516903707161E-2</v>
      </c>
      <c r="C123" s="113">
        <v>230</v>
      </c>
    </row>
    <row r="124" spans="1:3" x14ac:dyDescent="0.3">
      <c r="A124" s="42" t="s">
        <v>19</v>
      </c>
      <c r="B124" s="83">
        <v>5.8764788517847777E-2</v>
      </c>
      <c r="C124" s="113">
        <v>236</v>
      </c>
    </row>
    <row r="125" spans="1:3" x14ac:dyDescent="0.3">
      <c r="A125" s="45" t="s">
        <v>40</v>
      </c>
      <c r="B125" s="84">
        <v>8.5455879813503707E-2</v>
      </c>
      <c r="C125" s="114">
        <v>299</v>
      </c>
    </row>
    <row r="126" spans="1:3" x14ac:dyDescent="0.3">
      <c r="A126" s="45" t="s">
        <v>37</v>
      </c>
      <c r="B126" s="84">
        <v>0.11041472996071611</v>
      </c>
      <c r="C126" s="114">
        <v>173</v>
      </c>
    </row>
    <row r="127" spans="1:3" x14ac:dyDescent="0.3">
      <c r="A127" s="45" t="s">
        <v>337</v>
      </c>
      <c r="B127" s="84">
        <v>7.064131830503638E-2</v>
      </c>
      <c r="C127" s="114">
        <v>113</v>
      </c>
    </row>
    <row r="128" spans="1:3" x14ac:dyDescent="0.3">
      <c r="A128" s="42" t="s">
        <v>40</v>
      </c>
      <c r="B128" s="83">
        <v>3.4738711788351875E-2</v>
      </c>
      <c r="C128" s="113">
        <v>145</v>
      </c>
    </row>
    <row r="129" spans="1:3" x14ac:dyDescent="0.3">
      <c r="A129" s="42" t="s">
        <v>40</v>
      </c>
      <c r="B129" s="83">
        <v>0.10461100954702417</v>
      </c>
      <c r="C129" s="113">
        <v>176</v>
      </c>
    </row>
    <row r="130" spans="1:3" x14ac:dyDescent="0.3">
      <c r="A130" s="42" t="s">
        <v>19</v>
      </c>
      <c r="B130" s="83">
        <v>7.9993453221219743E-2</v>
      </c>
      <c r="C130" s="113">
        <v>224</v>
      </c>
    </row>
    <row r="131" spans="1:3" x14ac:dyDescent="0.3">
      <c r="A131" s="45" t="s">
        <v>19</v>
      </c>
      <c r="B131" s="84">
        <v>2.811915575741384E-2</v>
      </c>
      <c r="C131" s="114">
        <v>205</v>
      </c>
    </row>
    <row r="132" spans="1:3" x14ac:dyDescent="0.3">
      <c r="A132" s="45" t="s">
        <v>40</v>
      </c>
      <c r="B132" s="84">
        <v>5.4592988710635768E-2</v>
      </c>
      <c r="C132" s="114">
        <v>205</v>
      </c>
    </row>
    <row r="133" spans="1:3" x14ac:dyDescent="0.3">
      <c r="A133" s="45" t="s">
        <v>37</v>
      </c>
      <c r="B133" s="84">
        <v>9.2466575934672959E-2</v>
      </c>
      <c r="C133" s="114">
        <v>148</v>
      </c>
    </row>
    <row r="134" spans="1:3" x14ac:dyDescent="0.3">
      <c r="A134" s="45" t="s">
        <v>19</v>
      </c>
      <c r="B134" s="84">
        <v>4.7508511296812134E-2</v>
      </c>
      <c r="C134" s="114">
        <v>139</v>
      </c>
    </row>
    <row r="135" spans="1:3" x14ac:dyDescent="0.3">
      <c r="A135" s="42" t="s">
        <v>37</v>
      </c>
      <c r="B135" s="83">
        <v>7.4861184558434685E-2</v>
      </c>
      <c r="C135" s="113">
        <v>196</v>
      </c>
    </row>
    <row r="136" spans="1:3" x14ac:dyDescent="0.3">
      <c r="A136" s="42" t="s">
        <v>337</v>
      </c>
      <c r="B136" s="83">
        <v>9.6834214933149046E-2</v>
      </c>
      <c r="C136" s="113">
        <v>127</v>
      </c>
    </row>
    <row r="137" spans="1:3" x14ac:dyDescent="0.3">
      <c r="A137" s="42" t="s">
        <v>37</v>
      </c>
      <c r="B137" s="83">
        <v>0.18723441538528934</v>
      </c>
      <c r="C137" s="113">
        <v>199</v>
      </c>
    </row>
    <row r="138" spans="1:3" x14ac:dyDescent="0.3">
      <c r="A138" s="42" t="s">
        <v>40</v>
      </c>
      <c r="B138" s="83">
        <v>0.16610252187966945</v>
      </c>
      <c r="C138" s="113">
        <v>296</v>
      </c>
    </row>
    <row r="139" spans="1:3" x14ac:dyDescent="0.3">
      <c r="A139" s="42" t="s">
        <v>19</v>
      </c>
      <c r="B139" s="83">
        <v>2.7809319322005904E-2</v>
      </c>
      <c r="C139" s="113">
        <v>236</v>
      </c>
    </row>
    <row r="140" spans="1:3" x14ac:dyDescent="0.3">
      <c r="A140" s="42" t="s">
        <v>37</v>
      </c>
      <c r="B140" s="83">
        <v>0.11645414595490239</v>
      </c>
      <c r="C140" s="113">
        <v>289</v>
      </c>
    </row>
    <row r="141" spans="1:3" x14ac:dyDescent="0.3">
      <c r="A141" s="45" t="s">
        <v>337</v>
      </c>
      <c r="B141" s="84">
        <v>8.702596166915863E-2</v>
      </c>
      <c r="C141" s="114">
        <v>236</v>
      </c>
    </row>
    <row r="142" spans="1:3" x14ac:dyDescent="0.3">
      <c r="A142" s="42" t="s">
        <v>19</v>
      </c>
      <c r="B142" s="83">
        <v>7.0594928198320889E-2</v>
      </c>
      <c r="C142" s="113">
        <v>273</v>
      </c>
    </row>
    <row r="143" spans="1:3" x14ac:dyDescent="0.3">
      <c r="A143" s="42" t="s">
        <v>37</v>
      </c>
      <c r="B143" s="83">
        <v>0.11731037798484398</v>
      </c>
      <c r="C143" s="113">
        <v>92</v>
      </c>
    </row>
    <row r="144" spans="1:3" x14ac:dyDescent="0.3">
      <c r="A144" s="42" t="s">
        <v>19</v>
      </c>
      <c r="B144" s="83">
        <v>9.2634518149573616E-2</v>
      </c>
      <c r="C144" s="113">
        <v>105</v>
      </c>
    </row>
    <row r="145" spans="1:3" x14ac:dyDescent="0.3">
      <c r="A145" s="45" t="s">
        <v>40</v>
      </c>
      <c r="B145" s="84">
        <v>6.0370736430199488E-2</v>
      </c>
      <c r="C145" s="114">
        <v>82</v>
      </c>
    </row>
    <row r="146" spans="1:3" x14ac:dyDescent="0.3">
      <c r="A146" s="42" t="s">
        <v>337</v>
      </c>
      <c r="B146" s="83">
        <v>0.11477740733477153</v>
      </c>
      <c r="C146" s="113">
        <v>277</v>
      </c>
    </row>
    <row r="147" spans="1:3" x14ac:dyDescent="0.3">
      <c r="A147" s="45" t="s">
        <v>19</v>
      </c>
      <c r="B147" s="84">
        <v>8.1504318676747664E-2</v>
      </c>
      <c r="C147" s="114">
        <v>245</v>
      </c>
    </row>
    <row r="148" spans="1:3" x14ac:dyDescent="0.3">
      <c r="A148" s="45" t="s">
        <v>337</v>
      </c>
      <c r="B148" s="84">
        <v>7.1988159338556151E-2</v>
      </c>
      <c r="C148" s="114">
        <v>208</v>
      </c>
    </row>
    <row r="149" spans="1:3" x14ac:dyDescent="0.3">
      <c r="A149" s="45" t="s">
        <v>19</v>
      </c>
      <c r="B149" s="84">
        <v>0.10708707332819627</v>
      </c>
      <c r="C149" s="114">
        <v>270</v>
      </c>
    </row>
    <row r="150" spans="1:3" x14ac:dyDescent="0.3">
      <c r="A150" s="42" t="s">
        <v>40</v>
      </c>
      <c r="B150" s="83">
        <v>8.1341895638137346E-2</v>
      </c>
      <c r="C150" s="113">
        <v>286</v>
      </c>
    </row>
    <row r="151" spans="1:3" x14ac:dyDescent="0.3">
      <c r="A151" s="45" t="s">
        <v>337</v>
      </c>
      <c r="B151" s="84">
        <v>9.4928992718046723E-2</v>
      </c>
      <c r="C151" s="114">
        <v>88</v>
      </c>
    </row>
    <row r="152" spans="1:3" x14ac:dyDescent="0.3">
      <c r="A152" s="45" t="s">
        <v>37</v>
      </c>
      <c r="B152" s="84">
        <v>6.9360859297630834E-2</v>
      </c>
      <c r="C152" s="114">
        <v>219</v>
      </c>
    </row>
    <row r="153" spans="1:3" x14ac:dyDescent="0.3">
      <c r="A153" s="42" t="s">
        <v>19</v>
      </c>
      <c r="B153" s="83">
        <v>9.2425876010781671E-2</v>
      </c>
      <c r="C153" s="113">
        <v>272</v>
      </c>
    </row>
    <row r="154" spans="1:3" x14ac:dyDescent="0.3">
      <c r="A154" s="45" t="s">
        <v>19</v>
      </c>
      <c r="B154" s="84">
        <v>8.2469701307376658E-2</v>
      </c>
      <c r="C154" s="114">
        <v>87</v>
      </c>
    </row>
    <row r="155" spans="1:3" x14ac:dyDescent="0.3">
      <c r="A155" s="42" t="s">
        <v>19</v>
      </c>
      <c r="B155" s="83">
        <v>5.9585542168674697E-2</v>
      </c>
      <c r="C155" s="113">
        <v>92</v>
      </c>
    </row>
    <row r="156" spans="1:3" x14ac:dyDescent="0.3">
      <c r="A156" s="45" t="s">
        <v>40</v>
      </c>
      <c r="B156" s="84">
        <v>0.10400389436534015</v>
      </c>
      <c r="C156" s="114">
        <v>236</v>
      </c>
    </row>
    <row r="157" spans="1:3" x14ac:dyDescent="0.3">
      <c r="A157" s="42" t="s">
        <v>19</v>
      </c>
      <c r="B157" s="83">
        <v>3.8832755240536872E-2</v>
      </c>
      <c r="C157" s="113">
        <v>230</v>
      </c>
    </row>
    <row r="158" spans="1:3" x14ac:dyDescent="0.3">
      <c r="A158" s="42" t="s">
        <v>19</v>
      </c>
      <c r="B158" s="83">
        <v>0.19390491670052823</v>
      </c>
      <c r="C158" s="113">
        <v>158</v>
      </c>
    </row>
    <row r="159" spans="1:3" x14ac:dyDescent="0.3">
      <c r="A159" s="42" t="s">
        <v>19</v>
      </c>
      <c r="B159" s="83">
        <v>0.16116683482699271</v>
      </c>
      <c r="C159" s="113">
        <v>216</v>
      </c>
    </row>
    <row r="160" spans="1:3" x14ac:dyDescent="0.3">
      <c r="A160" s="45" t="s">
        <v>37</v>
      </c>
      <c r="B160" s="84">
        <v>8.3133241487896081E-2</v>
      </c>
      <c r="C160" s="114">
        <v>219</v>
      </c>
    </row>
    <row r="161" spans="1:3" x14ac:dyDescent="0.3">
      <c r="A161" s="42" t="s">
        <v>19</v>
      </c>
      <c r="B161" s="83">
        <v>4.9951325040562468E-2</v>
      </c>
      <c r="C161" s="113">
        <v>293</v>
      </c>
    </row>
    <row r="162" spans="1:3" x14ac:dyDescent="0.3">
      <c r="A162" s="45" t="s">
        <v>19</v>
      </c>
      <c r="B162" s="84">
        <v>0.1552751489660007</v>
      </c>
      <c r="C162" s="114">
        <v>275</v>
      </c>
    </row>
    <row r="163" spans="1:3" x14ac:dyDescent="0.3">
      <c r="A163" s="45" t="s">
        <v>40</v>
      </c>
      <c r="B163" s="84">
        <v>0.11258173796580792</v>
      </c>
      <c r="C163" s="114">
        <v>100</v>
      </c>
    </row>
    <row r="164" spans="1:3" x14ac:dyDescent="0.3">
      <c r="A164" s="42" t="s">
        <v>19</v>
      </c>
      <c r="B164" s="83">
        <v>0.11046681895390383</v>
      </c>
      <c r="C164" s="113">
        <v>256</v>
      </c>
    </row>
    <row r="165" spans="1:3" x14ac:dyDescent="0.3">
      <c r="A165" s="45" t="s">
        <v>37</v>
      </c>
      <c r="B165" s="84">
        <v>3.5523669554455448E-2</v>
      </c>
      <c r="C165" s="114">
        <v>168</v>
      </c>
    </row>
    <row r="166" spans="1:3" x14ac:dyDescent="0.3">
      <c r="A166" s="45" t="s">
        <v>37</v>
      </c>
      <c r="B166" s="84">
        <v>0.10652531529884847</v>
      </c>
      <c r="C166" s="114">
        <v>258</v>
      </c>
    </row>
    <row r="167" spans="1:3" x14ac:dyDescent="0.3">
      <c r="A167" s="45" t="s">
        <v>19</v>
      </c>
      <c r="B167" s="84">
        <v>9.2244407295403744E-2</v>
      </c>
      <c r="C167" s="114">
        <v>288</v>
      </c>
    </row>
    <row r="168" spans="1:3" x14ac:dyDescent="0.3">
      <c r="A168" s="45" t="s">
        <v>19</v>
      </c>
      <c r="B168" s="84">
        <v>0.1612578785034196</v>
      </c>
      <c r="C168" s="114">
        <v>298</v>
      </c>
    </row>
    <row r="169" spans="1:3" x14ac:dyDescent="0.3">
      <c r="A169" s="45" t="s">
        <v>40</v>
      </c>
      <c r="B169" s="84">
        <v>0.10143081434961637</v>
      </c>
      <c r="C169" s="114">
        <v>121</v>
      </c>
    </row>
    <row r="170" spans="1:3" x14ac:dyDescent="0.3">
      <c r="A170" s="42" t="s">
        <v>19</v>
      </c>
      <c r="B170" s="83">
        <v>8.4528099363643333E-2</v>
      </c>
      <c r="C170" s="113">
        <v>175</v>
      </c>
    </row>
    <row r="171" spans="1:3" x14ac:dyDescent="0.3">
      <c r="A171" s="42" t="s">
        <v>40</v>
      </c>
      <c r="B171" s="83">
        <v>0.15513030574705536</v>
      </c>
      <c r="C171" s="113">
        <v>259</v>
      </c>
    </row>
    <row r="172" spans="1:3" x14ac:dyDescent="0.3">
      <c r="A172" s="45" t="s">
        <v>37</v>
      </c>
      <c r="B172" s="84">
        <v>9.8031707130274953E-2</v>
      </c>
      <c r="C172" s="114">
        <v>135</v>
      </c>
    </row>
    <row r="173" spans="1:3" x14ac:dyDescent="0.3">
      <c r="A173" s="42" t="s">
        <v>19</v>
      </c>
      <c r="B173" s="83">
        <v>0.16447098339242397</v>
      </c>
      <c r="C173" s="113">
        <v>278</v>
      </c>
    </row>
    <row r="174" spans="1:3" x14ac:dyDescent="0.3">
      <c r="A174" s="45" t="s">
        <v>19</v>
      </c>
      <c r="B174" s="84">
        <v>0.10077178019329269</v>
      </c>
      <c r="C174" s="114">
        <v>230</v>
      </c>
    </row>
    <row r="175" spans="1:3" x14ac:dyDescent="0.3">
      <c r="A175" s="42" t="s">
        <v>19</v>
      </c>
      <c r="B175" s="83">
        <v>0.10256458679558846</v>
      </c>
      <c r="C175" s="113">
        <v>269</v>
      </c>
    </row>
    <row r="176" spans="1:3" x14ac:dyDescent="0.3">
      <c r="A176" s="42" t="s">
        <v>19</v>
      </c>
      <c r="B176" s="83">
        <v>5.6980732739746021E-2</v>
      </c>
      <c r="C176" s="113">
        <v>98</v>
      </c>
    </row>
    <row r="177" spans="1:3" x14ac:dyDescent="0.3">
      <c r="A177" s="42" t="s">
        <v>40</v>
      </c>
      <c r="B177" s="83">
        <v>8.4227733207149463E-2</v>
      </c>
      <c r="C177" s="113">
        <v>150</v>
      </c>
    </row>
    <row r="178" spans="1:3" x14ac:dyDescent="0.3">
      <c r="A178" s="45" t="s">
        <v>40</v>
      </c>
      <c r="B178" s="84">
        <v>0.1728980597474592</v>
      </c>
      <c r="C178" s="114">
        <v>178</v>
      </c>
    </row>
    <row r="179" spans="1:3" x14ac:dyDescent="0.3">
      <c r="A179" s="45" t="s">
        <v>37</v>
      </c>
      <c r="B179" s="84">
        <v>7.3899528727564417E-2</v>
      </c>
      <c r="C179" s="114">
        <v>161</v>
      </c>
    </row>
    <row r="180" spans="1:3" x14ac:dyDescent="0.3">
      <c r="A180" s="42" t="s">
        <v>40</v>
      </c>
      <c r="B180" s="83">
        <v>7.090200025160398E-2</v>
      </c>
      <c r="C180" s="113">
        <v>208</v>
      </c>
    </row>
    <row r="181" spans="1:3" x14ac:dyDescent="0.3">
      <c r="A181" s="42" t="s">
        <v>337</v>
      </c>
      <c r="B181" s="83">
        <v>7.7731488624869283E-2</v>
      </c>
      <c r="C181" s="113">
        <v>85</v>
      </c>
    </row>
    <row r="182" spans="1:3" x14ac:dyDescent="0.3">
      <c r="A182" s="45" t="s">
        <v>40</v>
      </c>
      <c r="B182" s="84">
        <v>4.2982250109049422E-2</v>
      </c>
      <c r="C182" s="114">
        <v>281</v>
      </c>
    </row>
    <row r="183" spans="1:3" x14ac:dyDescent="0.3">
      <c r="A183" s="42" t="s">
        <v>40</v>
      </c>
      <c r="B183" s="83">
        <v>7.2213401079707848E-2</v>
      </c>
      <c r="C183" s="113">
        <v>112</v>
      </c>
    </row>
    <row r="184" spans="1:3" x14ac:dyDescent="0.3">
      <c r="A184" s="42" t="s">
        <v>40</v>
      </c>
      <c r="B184" s="83">
        <v>0.16743869209809265</v>
      </c>
      <c r="C184" s="113">
        <v>286</v>
      </c>
    </row>
    <row r="185" spans="1:3" x14ac:dyDescent="0.3">
      <c r="A185" s="42" t="s">
        <v>337</v>
      </c>
      <c r="B185" s="83">
        <v>6.2648374965860634E-2</v>
      </c>
      <c r="C185" s="113">
        <v>287</v>
      </c>
    </row>
    <row r="186" spans="1:3" x14ac:dyDescent="0.3">
      <c r="A186" s="45" t="s">
        <v>19</v>
      </c>
      <c r="B186" s="84">
        <v>8.5966298051606105E-2</v>
      </c>
      <c r="C186" s="114">
        <v>219</v>
      </c>
    </row>
    <row r="187" spans="1:3" x14ac:dyDescent="0.3">
      <c r="A187" s="42" t="s">
        <v>337</v>
      </c>
      <c r="B187" s="83">
        <v>0.22967524699836073</v>
      </c>
      <c r="C187" s="113">
        <v>197</v>
      </c>
    </row>
    <row r="188" spans="1:3" x14ac:dyDescent="0.3">
      <c r="A188" s="45" t="s">
        <v>19</v>
      </c>
      <c r="B188" s="84">
        <v>0.12920396165457337</v>
      </c>
      <c r="C188" s="114">
        <v>204</v>
      </c>
    </row>
    <row r="189" spans="1:3" x14ac:dyDescent="0.3">
      <c r="A189" s="42" t="s">
        <v>19</v>
      </c>
      <c r="B189" s="83">
        <v>9.8222596516111871E-2</v>
      </c>
      <c r="C189" s="113">
        <v>168</v>
      </c>
    </row>
    <row r="190" spans="1:3" x14ac:dyDescent="0.3">
      <c r="A190" s="45" t="s">
        <v>19</v>
      </c>
      <c r="B190" s="84">
        <v>0.11349824183418362</v>
      </c>
      <c r="C190" s="114">
        <v>216</v>
      </c>
    </row>
    <row r="191" spans="1:3" x14ac:dyDescent="0.3">
      <c r="A191" s="45" t="s">
        <v>40</v>
      </c>
      <c r="B191" s="84">
        <v>9.4251731312692155E-2</v>
      </c>
      <c r="C191" s="114">
        <v>241</v>
      </c>
    </row>
    <row r="192" spans="1:3" x14ac:dyDescent="0.3">
      <c r="A192" s="42" t="s">
        <v>19</v>
      </c>
      <c r="B192" s="83">
        <v>0.10173025732031943</v>
      </c>
      <c r="C192" s="113">
        <v>240</v>
      </c>
    </row>
    <row r="193" spans="1:3" x14ac:dyDescent="0.3">
      <c r="A193" s="42" t="s">
        <v>19</v>
      </c>
      <c r="B193" s="83">
        <v>8.9237069349238848E-2</v>
      </c>
      <c r="C193" s="113">
        <v>173</v>
      </c>
    </row>
    <row r="194" spans="1:3" x14ac:dyDescent="0.3">
      <c r="A194" s="42" t="s">
        <v>19</v>
      </c>
      <c r="B194" s="83">
        <v>6.5015829941203071E-2</v>
      </c>
      <c r="C194" s="113">
        <v>232</v>
      </c>
    </row>
    <row r="195" spans="1:3" x14ac:dyDescent="0.3">
      <c r="A195" s="45" t="s">
        <v>337</v>
      </c>
      <c r="B195" s="84">
        <v>5.6436966727204191E-2</v>
      </c>
      <c r="C195" s="114">
        <v>269</v>
      </c>
    </row>
    <row r="196" spans="1:3" x14ac:dyDescent="0.3">
      <c r="A196" s="42" t="s">
        <v>19</v>
      </c>
      <c r="B196" s="83">
        <v>0.10713930842607314</v>
      </c>
      <c r="C196" s="113">
        <v>213</v>
      </c>
    </row>
    <row r="197" spans="1:3" x14ac:dyDescent="0.3">
      <c r="A197" s="45" t="s">
        <v>40</v>
      </c>
      <c r="B197" s="84">
        <v>5.1833640647408315E-2</v>
      </c>
      <c r="C197" s="114">
        <v>272</v>
      </c>
    </row>
    <row r="198" spans="1:3" x14ac:dyDescent="0.3">
      <c r="A198" s="45" t="s">
        <v>19</v>
      </c>
      <c r="B198" s="84">
        <v>3.5821698002251455E-2</v>
      </c>
      <c r="C198" s="114">
        <v>239</v>
      </c>
    </row>
    <row r="199" spans="1:3" x14ac:dyDescent="0.3">
      <c r="A199" s="42" t="s">
        <v>40</v>
      </c>
      <c r="B199" s="83">
        <v>3.5034029141734799E-2</v>
      </c>
      <c r="C199" s="113">
        <v>222</v>
      </c>
    </row>
    <row r="200" spans="1:3" x14ac:dyDescent="0.3">
      <c r="A200" s="42" t="s">
        <v>40</v>
      </c>
      <c r="B200" s="83">
        <v>0.13946227759085811</v>
      </c>
      <c r="C200" s="113">
        <v>276</v>
      </c>
    </row>
    <row r="201" spans="1:3" x14ac:dyDescent="0.3">
      <c r="A201" s="42" t="s">
        <v>37</v>
      </c>
      <c r="B201" s="83">
        <v>4.5247823769763724E-2</v>
      </c>
      <c r="C201" s="113">
        <v>196</v>
      </c>
    </row>
    <row r="202" spans="1:3" x14ac:dyDescent="0.3">
      <c r="A202" s="45" t="s">
        <v>337</v>
      </c>
      <c r="B202" s="84">
        <v>6.2974139146620034E-2</v>
      </c>
      <c r="C202" s="114">
        <v>114</v>
      </c>
    </row>
    <row r="203" spans="1:3" x14ac:dyDescent="0.3">
      <c r="A203" s="45" t="s">
        <v>40</v>
      </c>
      <c r="B203" s="84">
        <v>0.10784235029699792</v>
      </c>
      <c r="C203" s="114">
        <v>157</v>
      </c>
    </row>
    <row r="204" spans="1:3" x14ac:dyDescent="0.3">
      <c r="A204" s="42" t="s">
        <v>19</v>
      </c>
      <c r="B204" s="83">
        <v>8.2690258629040073E-2</v>
      </c>
      <c r="C204" s="113">
        <v>111</v>
      </c>
    </row>
    <row r="205" spans="1:3" x14ac:dyDescent="0.3">
      <c r="A205" s="42" t="s">
        <v>37</v>
      </c>
      <c r="B205" s="83">
        <v>9.7836889180216949E-2</v>
      </c>
      <c r="C205" s="113">
        <v>232</v>
      </c>
    </row>
    <row r="206" spans="1:3" x14ac:dyDescent="0.3">
      <c r="A206" s="45" t="s">
        <v>40</v>
      </c>
      <c r="B206" s="84">
        <v>7.7428927315357568E-2</v>
      </c>
      <c r="C206" s="114">
        <v>117</v>
      </c>
    </row>
    <row r="207" spans="1:3" x14ac:dyDescent="0.3">
      <c r="A207" s="45" t="s">
        <v>19</v>
      </c>
      <c r="B207" s="84">
        <v>7.9782521843353188E-2</v>
      </c>
      <c r="C207" s="114">
        <v>222</v>
      </c>
    </row>
    <row r="208" spans="1:3" x14ac:dyDescent="0.3">
      <c r="A208" s="45" t="s">
        <v>40</v>
      </c>
      <c r="B208" s="84">
        <v>7.1022341272152026E-2</v>
      </c>
      <c r="C208" s="114">
        <v>155</v>
      </c>
    </row>
    <row r="209" spans="1:3" x14ac:dyDescent="0.3">
      <c r="A209" s="42" t="s">
        <v>40</v>
      </c>
      <c r="B209" s="83">
        <v>3.9319108127547353E-2</v>
      </c>
      <c r="C209" s="113">
        <v>239</v>
      </c>
    </row>
    <row r="210" spans="1:3" x14ac:dyDescent="0.3">
      <c r="A210" s="42" t="s">
        <v>19</v>
      </c>
      <c r="B210" s="83">
        <v>7.7181741758116915E-2</v>
      </c>
      <c r="C210" s="113">
        <v>118</v>
      </c>
    </row>
    <row r="211" spans="1:3" x14ac:dyDescent="0.3">
      <c r="A211" s="42" t="s">
        <v>40</v>
      </c>
      <c r="B211" s="83">
        <v>3.4110398272247981E-2</v>
      </c>
      <c r="C211" s="113">
        <v>275</v>
      </c>
    </row>
    <row r="212" spans="1:3" x14ac:dyDescent="0.3">
      <c r="A212" s="45" t="s">
        <v>19</v>
      </c>
      <c r="B212" s="84">
        <v>3.1623578076525334E-2</v>
      </c>
      <c r="C212" s="114">
        <v>232</v>
      </c>
    </row>
    <row r="213" spans="1:3" x14ac:dyDescent="0.3">
      <c r="A213" s="42" t="s">
        <v>19</v>
      </c>
      <c r="B213" s="83">
        <v>4.0153279184466734E-2</v>
      </c>
      <c r="C213" s="113">
        <v>296</v>
      </c>
    </row>
    <row r="214" spans="1:3" x14ac:dyDescent="0.3">
      <c r="A214" s="45" t="s">
        <v>37</v>
      </c>
      <c r="B214" s="84">
        <v>0.17995832544042431</v>
      </c>
      <c r="C214" s="114">
        <v>147</v>
      </c>
    </row>
    <row r="215" spans="1:3" x14ac:dyDescent="0.3">
      <c r="A215" s="45" t="s">
        <v>40</v>
      </c>
      <c r="B215" s="84">
        <v>0.12555218709398008</v>
      </c>
      <c r="C215" s="114">
        <v>293</v>
      </c>
    </row>
    <row r="216" spans="1:3" x14ac:dyDescent="0.3">
      <c r="A216" s="45" t="s">
        <v>19</v>
      </c>
      <c r="B216" s="84">
        <v>8.2744836775483013E-2</v>
      </c>
      <c r="C216" s="114">
        <v>186</v>
      </c>
    </row>
    <row r="217" spans="1:3" x14ac:dyDescent="0.3">
      <c r="A217" s="45" t="s">
        <v>40</v>
      </c>
      <c r="B217" s="84">
        <v>5.2041730205988429E-2</v>
      </c>
      <c r="C217" s="114">
        <v>174</v>
      </c>
    </row>
    <row r="218" spans="1:3" x14ac:dyDescent="0.3">
      <c r="A218" s="45" t="s">
        <v>40</v>
      </c>
      <c r="B218" s="84">
        <v>9.4450189589796618E-2</v>
      </c>
      <c r="C218" s="114">
        <v>133</v>
      </c>
    </row>
    <row r="219" spans="1:3" x14ac:dyDescent="0.3">
      <c r="A219" s="42" t="s">
        <v>19</v>
      </c>
      <c r="B219" s="83">
        <v>0.12409349336702463</v>
      </c>
      <c r="C219" s="113">
        <v>265</v>
      </c>
    </row>
    <row r="220" spans="1:3" x14ac:dyDescent="0.3">
      <c r="A220" s="45" t="s">
        <v>40</v>
      </c>
      <c r="B220" s="84">
        <v>4.5610431884675749E-2</v>
      </c>
      <c r="C220" s="114">
        <v>176</v>
      </c>
    </row>
    <row r="221" spans="1:3" x14ac:dyDescent="0.3">
      <c r="A221" s="42" t="s">
        <v>19</v>
      </c>
      <c r="B221" s="83">
        <v>8.0371103929948923E-2</v>
      </c>
      <c r="C221" s="113">
        <v>255</v>
      </c>
    </row>
    <row r="222" spans="1:3" x14ac:dyDescent="0.3">
      <c r="A222" s="42" t="s">
        <v>337</v>
      </c>
      <c r="B222" s="83">
        <v>0.1271002400274317</v>
      </c>
      <c r="C222" s="113">
        <v>282</v>
      </c>
    </row>
    <row r="223" spans="1:3" x14ac:dyDescent="0.3">
      <c r="A223" s="45" t="s">
        <v>37</v>
      </c>
      <c r="B223" s="84">
        <v>8.6602037169406718E-2</v>
      </c>
      <c r="C223" s="114">
        <v>178</v>
      </c>
    </row>
    <row r="224" spans="1:3" x14ac:dyDescent="0.3">
      <c r="A224" s="42" t="s">
        <v>40</v>
      </c>
      <c r="B224" s="83">
        <v>2.9336922849977874E-2</v>
      </c>
      <c r="C224" s="113">
        <v>271</v>
      </c>
    </row>
    <row r="225" spans="1:3" x14ac:dyDescent="0.3">
      <c r="A225" s="45" t="s">
        <v>37</v>
      </c>
      <c r="B225" s="84">
        <v>0.11126822801590809</v>
      </c>
      <c r="C225" s="114">
        <v>103</v>
      </c>
    </row>
    <row r="226" spans="1:3" x14ac:dyDescent="0.3">
      <c r="A226" s="45" t="s">
        <v>19</v>
      </c>
      <c r="B226" s="84">
        <v>5.2566815966924252E-2</v>
      </c>
      <c r="C226" s="114">
        <v>197</v>
      </c>
    </row>
    <row r="227" spans="1:3" x14ac:dyDescent="0.3">
      <c r="A227" s="42" t="s">
        <v>337</v>
      </c>
      <c r="B227" s="83">
        <v>5.2513742764570971E-2</v>
      </c>
      <c r="C227" s="113">
        <v>265</v>
      </c>
    </row>
    <row r="228" spans="1:3" x14ac:dyDescent="0.3">
      <c r="A228" s="45" t="s">
        <v>19</v>
      </c>
      <c r="B228" s="84">
        <v>0.12406981463942633</v>
      </c>
      <c r="C228" s="114">
        <v>294</v>
      </c>
    </row>
    <row r="229" spans="1:3" x14ac:dyDescent="0.3">
      <c r="A229" s="42" t="s">
        <v>19</v>
      </c>
      <c r="B229" s="83">
        <v>3.1839004091338254E-2</v>
      </c>
      <c r="C229" s="113">
        <v>101</v>
      </c>
    </row>
    <row r="230" spans="1:3" x14ac:dyDescent="0.3">
      <c r="A230" s="45" t="s">
        <v>19</v>
      </c>
      <c r="B230" s="84">
        <v>9.191926295801392E-2</v>
      </c>
      <c r="C230" s="114">
        <v>257</v>
      </c>
    </row>
    <row r="231" spans="1:3" x14ac:dyDescent="0.3">
      <c r="A231" s="42" t="s">
        <v>19</v>
      </c>
      <c r="B231" s="83">
        <v>4.9646286003031836E-2</v>
      </c>
      <c r="C231" s="113">
        <v>246</v>
      </c>
    </row>
    <row r="232" spans="1:3" x14ac:dyDescent="0.3">
      <c r="A232" s="42" t="s">
        <v>40</v>
      </c>
      <c r="B232" s="83">
        <v>6.76784936509532E-2</v>
      </c>
      <c r="C232" s="113">
        <v>213</v>
      </c>
    </row>
    <row r="233" spans="1:3" x14ac:dyDescent="0.3">
      <c r="A233" s="45" t="s">
        <v>19</v>
      </c>
      <c r="B233" s="84">
        <v>0.10985069273191947</v>
      </c>
      <c r="C233" s="114">
        <v>290</v>
      </c>
    </row>
    <row r="234" spans="1:3" x14ac:dyDescent="0.3">
      <c r="A234" s="42" t="s">
        <v>37</v>
      </c>
      <c r="B234" s="83">
        <v>8.0741841282852611E-2</v>
      </c>
      <c r="C234" s="113">
        <v>277</v>
      </c>
    </row>
    <row r="235" spans="1:3" x14ac:dyDescent="0.3">
      <c r="A235" s="45" t="s">
        <v>37</v>
      </c>
      <c r="B235" s="84">
        <v>0.16790703227603773</v>
      </c>
      <c r="C235" s="114">
        <v>263</v>
      </c>
    </row>
    <row r="236" spans="1:3" x14ac:dyDescent="0.3">
      <c r="A236" s="45" t="s">
        <v>19</v>
      </c>
      <c r="B236" s="84">
        <v>6.4655069273288512E-2</v>
      </c>
      <c r="C236" s="114">
        <v>172</v>
      </c>
    </row>
    <row r="237" spans="1:3" x14ac:dyDescent="0.3">
      <c r="A237" s="45" t="s">
        <v>19</v>
      </c>
      <c r="B237" s="84">
        <v>8.1666436749896543E-2</v>
      </c>
      <c r="C237" s="114">
        <v>145</v>
      </c>
    </row>
    <row r="238" spans="1:3" x14ac:dyDescent="0.3">
      <c r="A238" s="42" t="s">
        <v>19</v>
      </c>
      <c r="B238" s="83">
        <v>0.13077197816215114</v>
      </c>
      <c r="C238" s="113">
        <v>297</v>
      </c>
    </row>
    <row r="239" spans="1:3" x14ac:dyDescent="0.3">
      <c r="A239" s="45" t="s">
        <v>40</v>
      </c>
      <c r="B239" s="84">
        <v>5.3094209744904843E-2</v>
      </c>
      <c r="C239" s="114">
        <v>214</v>
      </c>
    </row>
    <row r="240" spans="1:3" x14ac:dyDescent="0.3">
      <c r="A240" s="42" t="s">
        <v>337</v>
      </c>
      <c r="B240" s="83">
        <v>0.17088145896656534</v>
      </c>
      <c r="C240" s="113">
        <v>160</v>
      </c>
    </row>
    <row r="241" spans="1:3" x14ac:dyDescent="0.3">
      <c r="A241" s="42" t="s">
        <v>19</v>
      </c>
      <c r="B241" s="83">
        <v>0.10547128720437092</v>
      </c>
      <c r="C241" s="113">
        <v>277</v>
      </c>
    </row>
    <row r="242" spans="1:3" x14ac:dyDescent="0.3">
      <c r="A242" s="45" t="s">
        <v>37</v>
      </c>
      <c r="B242" s="84">
        <v>4.819683813738912E-2</v>
      </c>
      <c r="C242" s="114">
        <v>104</v>
      </c>
    </row>
    <row r="243" spans="1:3" x14ac:dyDescent="0.3">
      <c r="A243" s="45" t="s">
        <v>19</v>
      </c>
      <c r="B243" s="84">
        <v>0.13404136389044158</v>
      </c>
      <c r="C243" s="114">
        <v>133</v>
      </c>
    </row>
    <row r="244" spans="1:3" x14ac:dyDescent="0.3">
      <c r="A244" s="45" t="s">
        <v>19</v>
      </c>
      <c r="B244" s="84">
        <v>9.8193807339449546E-2</v>
      </c>
      <c r="C244" s="114">
        <v>255</v>
      </c>
    </row>
    <row r="245" spans="1:3" x14ac:dyDescent="0.3">
      <c r="A245" s="45" t="s">
        <v>19</v>
      </c>
      <c r="B245" s="84">
        <v>8.6517714206166912E-2</v>
      </c>
      <c r="C245" s="114">
        <v>159</v>
      </c>
    </row>
    <row r="246" spans="1:3" x14ac:dyDescent="0.3">
      <c r="A246" s="45" t="s">
        <v>337</v>
      </c>
      <c r="B246" s="84">
        <v>9.2712236723090841E-2</v>
      </c>
      <c r="C246" s="114">
        <v>104</v>
      </c>
    </row>
    <row r="247" spans="1:3" x14ac:dyDescent="0.3">
      <c r="A247" s="45" t="s">
        <v>40</v>
      </c>
      <c r="B247" s="84">
        <v>0.16477245248343569</v>
      </c>
      <c r="C247" s="114">
        <v>130</v>
      </c>
    </row>
    <row r="248" spans="1:3" x14ac:dyDescent="0.3">
      <c r="A248" s="42" t="s">
        <v>19</v>
      </c>
      <c r="B248" s="83">
        <v>7.1354340971940891E-2</v>
      </c>
      <c r="C248" s="113">
        <v>163</v>
      </c>
    </row>
    <row r="249" spans="1:3" x14ac:dyDescent="0.3">
      <c r="A249" s="45" t="s">
        <v>19</v>
      </c>
      <c r="B249" s="84">
        <v>0.19261223173659131</v>
      </c>
      <c r="C249" s="114">
        <v>225</v>
      </c>
    </row>
    <row r="250" spans="1:3" x14ac:dyDescent="0.3">
      <c r="A250" s="42" t="s">
        <v>19</v>
      </c>
      <c r="B250" s="83">
        <v>0.14674444862627023</v>
      </c>
      <c r="C250" s="113">
        <v>96</v>
      </c>
    </row>
    <row r="251" spans="1:3" x14ac:dyDescent="0.3">
      <c r="A251" s="42" t="s">
        <v>37</v>
      </c>
      <c r="B251" s="83">
        <v>0.17799483100057059</v>
      </c>
      <c r="C251" s="113">
        <v>145</v>
      </c>
    </row>
    <row r="252" spans="1:3" x14ac:dyDescent="0.3">
      <c r="A252" s="42" t="s">
        <v>40</v>
      </c>
      <c r="B252" s="83">
        <v>4.4258807658382193E-2</v>
      </c>
      <c r="C252" s="113">
        <v>262</v>
      </c>
    </row>
    <row r="253" spans="1:3" x14ac:dyDescent="0.3">
      <c r="A253" s="45" t="s">
        <v>19</v>
      </c>
      <c r="B253" s="84">
        <v>0.10762898272970794</v>
      </c>
      <c r="C253" s="114">
        <v>248</v>
      </c>
    </row>
    <row r="254" spans="1:3" x14ac:dyDescent="0.3">
      <c r="A254" s="45" t="s">
        <v>19</v>
      </c>
      <c r="B254" s="84">
        <v>5.0121212121212122E-2</v>
      </c>
      <c r="C254" s="114">
        <v>160</v>
      </c>
    </row>
    <row r="255" spans="1:3" x14ac:dyDescent="0.3">
      <c r="A255" s="45" t="s">
        <v>37</v>
      </c>
      <c r="B255" s="84">
        <v>0.15451192239551567</v>
      </c>
      <c r="C255" s="114">
        <v>262</v>
      </c>
    </row>
    <row r="256" spans="1:3" x14ac:dyDescent="0.3">
      <c r="A256" s="45" t="s">
        <v>19</v>
      </c>
      <c r="B256" s="84">
        <v>5.7503193495407452E-2</v>
      </c>
      <c r="C256" s="114">
        <v>90</v>
      </c>
    </row>
    <row r="257" spans="1:3" x14ac:dyDescent="0.3">
      <c r="A257" s="45" t="s">
        <v>337</v>
      </c>
      <c r="B257" s="84">
        <v>5.2312660271630736E-2</v>
      </c>
      <c r="C257" s="114">
        <v>146</v>
      </c>
    </row>
    <row r="258" spans="1:3" x14ac:dyDescent="0.3">
      <c r="A258" s="42" t="s">
        <v>19</v>
      </c>
      <c r="B258" s="83">
        <v>8.5608773500447627E-2</v>
      </c>
      <c r="C258" s="113">
        <v>272</v>
      </c>
    </row>
    <row r="259" spans="1:3" x14ac:dyDescent="0.3">
      <c r="A259" s="45" t="s">
        <v>19</v>
      </c>
      <c r="B259" s="84">
        <v>3.3729709324273313E-2</v>
      </c>
      <c r="C259" s="114">
        <v>286</v>
      </c>
    </row>
    <row r="260" spans="1:3" x14ac:dyDescent="0.3">
      <c r="A260" s="45" t="s">
        <v>40</v>
      </c>
      <c r="B260" s="84">
        <v>7.5077784691972627E-2</v>
      </c>
      <c r="C260" s="114">
        <v>138</v>
      </c>
    </row>
    <row r="261" spans="1:3" x14ac:dyDescent="0.3">
      <c r="A261" s="42" t="s">
        <v>337</v>
      </c>
      <c r="B261" s="83">
        <v>8.3423643616408028E-2</v>
      </c>
      <c r="C261" s="113">
        <v>128</v>
      </c>
    </row>
    <row r="262" spans="1:3" x14ac:dyDescent="0.3">
      <c r="A262" s="45" t="s">
        <v>40</v>
      </c>
      <c r="B262" s="84">
        <v>6.8477000386548123E-2</v>
      </c>
      <c r="C262" s="114">
        <v>190</v>
      </c>
    </row>
    <row r="263" spans="1:3" x14ac:dyDescent="0.3">
      <c r="A263" s="42" t="s">
        <v>337</v>
      </c>
      <c r="B263" s="83">
        <v>0.12190780876853062</v>
      </c>
      <c r="C263" s="113">
        <v>174</v>
      </c>
    </row>
    <row r="264" spans="1:3" x14ac:dyDescent="0.3">
      <c r="A264" s="45" t="s">
        <v>19</v>
      </c>
      <c r="B264" s="84">
        <v>5.4473577117609438E-2</v>
      </c>
      <c r="C264" s="114">
        <v>173</v>
      </c>
    </row>
    <row r="265" spans="1:3" x14ac:dyDescent="0.3">
      <c r="A265" s="45" t="s">
        <v>19</v>
      </c>
      <c r="B265" s="84">
        <v>5.4859907104176028E-2</v>
      </c>
      <c r="C265" s="114">
        <v>185</v>
      </c>
    </row>
    <row r="266" spans="1:3" x14ac:dyDescent="0.3">
      <c r="A266" s="42" t="s">
        <v>19</v>
      </c>
      <c r="B266" s="83">
        <v>9.0752980172121162E-2</v>
      </c>
      <c r="C266" s="113">
        <v>221</v>
      </c>
    </row>
    <row r="267" spans="1:3" x14ac:dyDescent="0.3">
      <c r="A267" s="45" t="s">
        <v>37</v>
      </c>
      <c r="B267" s="84">
        <v>0.11695224773672146</v>
      </c>
      <c r="C267" s="114">
        <v>246</v>
      </c>
    </row>
    <row r="268" spans="1:3" x14ac:dyDescent="0.3">
      <c r="A268" s="42" t="s">
        <v>19</v>
      </c>
      <c r="B268" s="83">
        <v>6.1279893894806647E-2</v>
      </c>
      <c r="C268" s="113">
        <v>111</v>
      </c>
    </row>
    <row r="269" spans="1:3" x14ac:dyDescent="0.3">
      <c r="A269" s="42" t="s">
        <v>19</v>
      </c>
      <c r="B269" s="83">
        <v>7.3202671439172376E-2</v>
      </c>
      <c r="C269" s="113">
        <v>85</v>
      </c>
    </row>
    <row r="270" spans="1:3" x14ac:dyDescent="0.3">
      <c r="A270" s="42" t="s">
        <v>19</v>
      </c>
      <c r="B270" s="83">
        <v>9.2893873181347508E-2</v>
      </c>
      <c r="C270" s="113">
        <v>205</v>
      </c>
    </row>
    <row r="271" spans="1:3" x14ac:dyDescent="0.3">
      <c r="A271" s="42" t="s">
        <v>19</v>
      </c>
      <c r="B271" s="83">
        <v>3.3603177027646251E-2</v>
      </c>
      <c r="C271" s="113">
        <v>265</v>
      </c>
    </row>
    <row r="272" spans="1:3" x14ac:dyDescent="0.3">
      <c r="A272" s="42" t="s">
        <v>19</v>
      </c>
      <c r="B272" s="83">
        <v>0.14843585975225698</v>
      </c>
      <c r="C272" s="113">
        <v>210</v>
      </c>
    </row>
    <row r="273" spans="1:3" x14ac:dyDescent="0.3">
      <c r="A273" s="42" t="s">
        <v>40</v>
      </c>
      <c r="B273" s="83">
        <v>5.1861351697967357E-2</v>
      </c>
      <c r="C273" s="113">
        <v>126</v>
      </c>
    </row>
    <row r="274" spans="1:3" x14ac:dyDescent="0.3">
      <c r="A274" s="45" t="s">
        <v>37</v>
      </c>
      <c r="B274" s="84">
        <v>6.6160796354604659E-2</v>
      </c>
      <c r="C274" s="114">
        <v>276</v>
      </c>
    </row>
    <row r="275" spans="1:3" x14ac:dyDescent="0.3">
      <c r="A275" s="42" t="s">
        <v>19</v>
      </c>
      <c r="B275" s="83">
        <v>5.4638246772740921E-2</v>
      </c>
      <c r="C275" s="113">
        <v>195</v>
      </c>
    </row>
    <row r="276" spans="1:3" x14ac:dyDescent="0.3">
      <c r="A276" s="42" t="s">
        <v>19</v>
      </c>
      <c r="B276" s="83">
        <v>9.4139757389372969E-2</v>
      </c>
      <c r="C276" s="113">
        <v>234</v>
      </c>
    </row>
    <row r="277" spans="1:3" x14ac:dyDescent="0.3">
      <c r="A277" s="42" t="s">
        <v>37</v>
      </c>
      <c r="B277" s="83">
        <v>5.7682545054573146E-2</v>
      </c>
      <c r="C277" s="113">
        <v>143</v>
      </c>
    </row>
    <row r="278" spans="1:3" x14ac:dyDescent="0.3">
      <c r="A278" s="42" t="s">
        <v>37</v>
      </c>
      <c r="B278" s="83">
        <v>8.3972409065592737E-2</v>
      </c>
      <c r="C278" s="113">
        <v>184</v>
      </c>
    </row>
    <row r="279" spans="1:3" x14ac:dyDescent="0.3">
      <c r="A279" s="42" t="s">
        <v>40</v>
      </c>
      <c r="B279" s="83">
        <v>6.6186514342481059E-2</v>
      </c>
      <c r="C279" s="113">
        <v>163</v>
      </c>
    </row>
    <row r="280" spans="1:3" x14ac:dyDescent="0.3">
      <c r="A280" s="45" t="s">
        <v>40</v>
      </c>
      <c r="B280" s="84">
        <v>0.20445859872611466</v>
      </c>
      <c r="C280" s="114">
        <v>212</v>
      </c>
    </row>
    <row r="281" spans="1:3" x14ac:dyDescent="0.3">
      <c r="A281" s="42" t="s">
        <v>19</v>
      </c>
      <c r="B281" s="83">
        <v>0.1122776514644911</v>
      </c>
      <c r="C281" s="113">
        <v>184</v>
      </c>
    </row>
    <row r="282" spans="1:3" x14ac:dyDescent="0.3">
      <c r="A282" s="45" t="s">
        <v>40</v>
      </c>
      <c r="B282" s="84">
        <v>9.8640235621946709E-2</v>
      </c>
      <c r="C282" s="114">
        <v>291</v>
      </c>
    </row>
    <row r="283" spans="1:3" x14ac:dyDescent="0.3">
      <c r="A283" s="42" t="s">
        <v>337</v>
      </c>
      <c r="B283" s="83">
        <v>5.4576862557296296E-2</v>
      </c>
      <c r="C283" s="113">
        <v>163</v>
      </c>
    </row>
    <row r="284" spans="1:3" x14ac:dyDescent="0.3">
      <c r="A284" s="42" t="s">
        <v>19</v>
      </c>
      <c r="B284" s="83">
        <v>8.628318584070796E-2</v>
      </c>
      <c r="C284" s="113">
        <v>295</v>
      </c>
    </row>
    <row r="285" spans="1:3" x14ac:dyDescent="0.3">
      <c r="A285" s="45" t="s">
        <v>37</v>
      </c>
      <c r="B285" s="84">
        <v>8.4056399132321047E-2</v>
      </c>
      <c r="C285" s="114">
        <v>111</v>
      </c>
    </row>
    <row r="286" spans="1:3" x14ac:dyDescent="0.3">
      <c r="A286" s="45" t="s">
        <v>19</v>
      </c>
      <c r="B286" s="84">
        <v>3.4229485151994379E-2</v>
      </c>
      <c r="C286" s="114">
        <v>228</v>
      </c>
    </row>
    <row r="287" spans="1:3" x14ac:dyDescent="0.3">
      <c r="A287" s="45" t="s">
        <v>19</v>
      </c>
      <c r="B287" s="84">
        <v>0.11467469950680724</v>
      </c>
      <c r="C287" s="114">
        <v>198</v>
      </c>
    </row>
    <row r="288" spans="1:3" x14ac:dyDescent="0.3">
      <c r="A288" s="45" t="s">
        <v>19</v>
      </c>
      <c r="B288" s="84">
        <v>8.4548582664263475E-2</v>
      </c>
      <c r="C288" s="114">
        <v>156</v>
      </c>
    </row>
    <row r="289" spans="1:3" x14ac:dyDescent="0.3">
      <c r="A289" s="45" t="s">
        <v>19</v>
      </c>
      <c r="B289" s="84">
        <v>0.10546200140489435</v>
      </c>
      <c r="C289" s="114">
        <v>114</v>
      </c>
    </row>
    <row r="290" spans="1:3" x14ac:dyDescent="0.3">
      <c r="A290" s="45" t="s">
        <v>37</v>
      </c>
      <c r="B290" s="84">
        <v>0.10338095327488783</v>
      </c>
      <c r="C290" s="114">
        <v>269</v>
      </c>
    </row>
    <row r="291" spans="1:3" x14ac:dyDescent="0.3">
      <c r="A291" s="42" t="s">
        <v>40</v>
      </c>
      <c r="B291" s="83">
        <v>0.1565595352530614</v>
      </c>
      <c r="C291" s="113">
        <v>155</v>
      </c>
    </row>
    <row r="292" spans="1:3" x14ac:dyDescent="0.3">
      <c r="A292" s="42" t="s">
        <v>40</v>
      </c>
      <c r="B292" s="83">
        <v>5.8052595393606049E-2</v>
      </c>
      <c r="C292" s="113">
        <v>178</v>
      </c>
    </row>
    <row r="293" spans="1:3" x14ac:dyDescent="0.3">
      <c r="A293" s="42" t="s">
        <v>337</v>
      </c>
      <c r="B293" s="83">
        <v>0.12976726726726726</v>
      </c>
      <c r="C293" s="113">
        <v>112</v>
      </c>
    </row>
    <row r="294" spans="1:3" x14ac:dyDescent="0.3">
      <c r="A294" s="45" t="s">
        <v>19</v>
      </c>
      <c r="B294" s="84">
        <v>4.4999031758326875E-2</v>
      </c>
      <c r="C294" s="114">
        <v>106</v>
      </c>
    </row>
    <row r="295" spans="1:3" x14ac:dyDescent="0.3">
      <c r="A295" s="45" t="s">
        <v>19</v>
      </c>
      <c r="B295" s="84">
        <v>3.221173574066475E-2</v>
      </c>
      <c r="C295" s="114">
        <v>147</v>
      </c>
    </row>
    <row r="296" spans="1:3" x14ac:dyDescent="0.3">
      <c r="A296" s="45" t="s">
        <v>37</v>
      </c>
      <c r="B296" s="84">
        <v>0.1109777812185492</v>
      </c>
      <c r="C296" s="114">
        <v>165</v>
      </c>
    </row>
    <row r="297" spans="1:3" x14ac:dyDescent="0.3">
      <c r="A297" s="42" t="s">
        <v>337</v>
      </c>
      <c r="B297" s="83">
        <v>0.1191007493755204</v>
      </c>
      <c r="C297" s="113">
        <v>165</v>
      </c>
    </row>
    <row r="298" spans="1:3" x14ac:dyDescent="0.3">
      <c r="A298" s="45" t="s">
        <v>40</v>
      </c>
      <c r="B298" s="84">
        <v>5.9775576027966085E-2</v>
      </c>
      <c r="C298" s="114">
        <v>160</v>
      </c>
    </row>
    <row r="299" spans="1:3" x14ac:dyDescent="0.3">
      <c r="A299" s="42" t="s">
        <v>37</v>
      </c>
      <c r="B299" s="83">
        <v>6.1064362065044349E-2</v>
      </c>
      <c r="C299" s="113">
        <v>83</v>
      </c>
    </row>
    <row r="300" spans="1:3" x14ac:dyDescent="0.3">
      <c r="A300" s="42" t="s">
        <v>19</v>
      </c>
      <c r="B300" s="83">
        <v>5.5797564422760453E-2</v>
      </c>
      <c r="C300" s="113">
        <v>240</v>
      </c>
    </row>
    <row r="301" spans="1:3" x14ac:dyDescent="0.3">
      <c r="A301" s="51" t="s">
        <v>40</v>
      </c>
      <c r="B301" s="85">
        <v>9.4300914496331587E-2</v>
      </c>
      <c r="C301" s="115">
        <v>270</v>
      </c>
    </row>
    <row r="302" spans="1:3" x14ac:dyDescent="0.3">
      <c r="A302" s="42" t="s">
        <v>37</v>
      </c>
      <c r="B302" s="83">
        <v>0.13200509890939993</v>
      </c>
      <c r="C302" s="113">
        <v>133</v>
      </c>
    </row>
    <row r="303" spans="1:3" x14ac:dyDescent="0.3">
      <c r="A303" s="42"/>
      <c r="B303" s="83">
        <v>8.7095334546328396E-2</v>
      </c>
      <c r="C303" s="113">
        <v>273</v>
      </c>
    </row>
    <row r="304" spans="1:3" x14ac:dyDescent="0.3">
      <c r="A304" s="45" t="s">
        <v>37</v>
      </c>
      <c r="B304" s="84">
        <v>7.0477352576105018E-2</v>
      </c>
      <c r="C304" s="114">
        <v>121</v>
      </c>
    </row>
    <row r="305" spans="1:3" x14ac:dyDescent="0.3">
      <c r="A305" s="45" t="s">
        <v>37</v>
      </c>
      <c r="B305" s="84">
        <v>0.1215714092690177</v>
      </c>
      <c r="C305" s="114">
        <v>272</v>
      </c>
    </row>
    <row r="306" spans="1:3" x14ac:dyDescent="0.3">
      <c r="A306" s="45" t="s">
        <v>338</v>
      </c>
      <c r="B306" s="84">
        <v>0.1314700217204213</v>
      </c>
      <c r="C306" s="114">
        <v>200</v>
      </c>
    </row>
    <row r="307" spans="1:3" x14ac:dyDescent="0.3">
      <c r="A307" s="45" t="s">
        <v>338</v>
      </c>
      <c r="B307" s="84">
        <v>7.4828079253761837E-2</v>
      </c>
      <c r="C307" s="114">
        <v>149</v>
      </c>
    </row>
    <row r="308" spans="1:3" x14ac:dyDescent="0.3">
      <c r="A308" s="42" t="s">
        <v>37</v>
      </c>
      <c r="B308" s="83">
        <v>0.26064752360763155</v>
      </c>
      <c r="C308" s="113">
        <v>212</v>
      </c>
    </row>
    <row r="309" spans="1:3" x14ac:dyDescent="0.3">
      <c r="A309" s="45" t="s">
        <v>337</v>
      </c>
      <c r="B309" s="84">
        <v>8.7100435029317191E-2</v>
      </c>
      <c r="C309" s="114">
        <v>120</v>
      </c>
    </row>
    <row r="310" spans="1:3" x14ac:dyDescent="0.3">
      <c r="A310" s="45"/>
      <c r="B310" s="84">
        <v>8.3943337400027115E-2</v>
      </c>
      <c r="C310" s="114">
        <v>171</v>
      </c>
    </row>
    <row r="311" spans="1:3" x14ac:dyDescent="0.3">
      <c r="A311" s="45"/>
      <c r="B311" s="84">
        <v>0.12997310581470833</v>
      </c>
      <c r="C311" s="114">
        <v>284</v>
      </c>
    </row>
    <row r="312" spans="1:3" x14ac:dyDescent="0.3">
      <c r="A312" s="45"/>
      <c r="B312" s="84">
        <v>8.4525482181632389E-2</v>
      </c>
      <c r="C312" s="114">
        <v>88</v>
      </c>
    </row>
    <row r="313" spans="1:3" x14ac:dyDescent="0.3">
      <c r="A313" s="42" t="s">
        <v>37</v>
      </c>
      <c r="B313" s="83">
        <v>5.4191936281527367E-2</v>
      </c>
      <c r="C313" s="113">
        <v>86</v>
      </c>
    </row>
    <row r="314" spans="1:3" x14ac:dyDescent="0.3">
      <c r="A314" s="42" t="s">
        <v>37</v>
      </c>
      <c r="B314" s="83">
        <v>7.4550393727863554E-2</v>
      </c>
      <c r="C314" s="113">
        <v>213</v>
      </c>
    </row>
    <row r="315" spans="1:3" x14ac:dyDescent="0.3">
      <c r="A315" s="42"/>
      <c r="B315" s="83">
        <v>8.5063484278785892E-2</v>
      </c>
      <c r="C315" s="113">
        <v>264</v>
      </c>
    </row>
    <row r="316" spans="1:3" x14ac:dyDescent="0.3">
      <c r="A316" s="42"/>
      <c r="B316" s="83">
        <v>0.11274405206444041</v>
      </c>
      <c r="C316" s="113">
        <v>179</v>
      </c>
    </row>
    <row r="317" spans="1:3" x14ac:dyDescent="0.3">
      <c r="A317" s="42" t="s">
        <v>37</v>
      </c>
      <c r="B317" s="83">
        <v>9.3810966751068869E-2</v>
      </c>
      <c r="C317" s="113">
        <v>172</v>
      </c>
    </row>
    <row r="318" spans="1:3" x14ac:dyDescent="0.3">
      <c r="A318" s="42"/>
      <c r="B318" s="83">
        <v>4.7214969538729328E-2</v>
      </c>
      <c r="C318" s="113">
        <v>83</v>
      </c>
    </row>
    <row r="319" spans="1:3" x14ac:dyDescent="0.3">
      <c r="A319" s="45"/>
      <c r="B319" s="84">
        <v>0.1408079806679472</v>
      </c>
      <c r="C319" s="114">
        <v>235</v>
      </c>
    </row>
    <row r="320" spans="1:3" x14ac:dyDescent="0.3">
      <c r="A320" s="42" t="s">
        <v>40</v>
      </c>
      <c r="B320" s="83">
        <v>6.4255640042732362E-2</v>
      </c>
      <c r="C320" s="113">
        <v>95</v>
      </c>
    </row>
    <row r="321" spans="1:3" x14ac:dyDescent="0.3">
      <c r="A321" s="42"/>
      <c r="B321" s="83">
        <v>0.15347655981879332</v>
      </c>
      <c r="C321" s="113">
        <v>90</v>
      </c>
    </row>
    <row r="322" spans="1:3" x14ac:dyDescent="0.3">
      <c r="A322" s="42"/>
      <c r="B322" s="83">
        <v>4.3543867212761371E-2</v>
      </c>
      <c r="C322" s="113">
        <v>230</v>
      </c>
    </row>
    <row r="323" spans="1:3" x14ac:dyDescent="0.3">
      <c r="A323" s="45" t="s">
        <v>37</v>
      </c>
      <c r="B323" s="84">
        <v>0.19548583208133888</v>
      </c>
      <c r="C323" s="114">
        <v>84</v>
      </c>
    </row>
    <row r="324" spans="1:3" x14ac:dyDescent="0.3">
      <c r="A324" s="45" t="s">
        <v>40</v>
      </c>
      <c r="B324" s="84">
        <v>8.0047619047619048E-2</v>
      </c>
      <c r="C324" s="114">
        <v>103</v>
      </c>
    </row>
    <row r="325" spans="1:3" x14ac:dyDescent="0.3">
      <c r="A325" s="42"/>
      <c r="B325" s="83">
        <v>0.11026748397882419</v>
      </c>
      <c r="C325" s="113">
        <v>174</v>
      </c>
    </row>
    <row r="326" spans="1:3" x14ac:dyDescent="0.3">
      <c r="A326" s="45" t="s">
        <v>40</v>
      </c>
      <c r="B326" s="84">
        <v>8.1036535115831879E-2</v>
      </c>
      <c r="C326" s="114">
        <v>232</v>
      </c>
    </row>
    <row r="327" spans="1:3" x14ac:dyDescent="0.3">
      <c r="A327" s="42" t="s">
        <v>337</v>
      </c>
      <c r="B327" s="83">
        <v>5.173411449857148E-2</v>
      </c>
      <c r="C327" s="113">
        <v>147</v>
      </c>
    </row>
    <row r="328" spans="1:3" x14ac:dyDescent="0.3">
      <c r="A328" s="42" t="s">
        <v>37</v>
      </c>
      <c r="B328" s="83">
        <v>0.11363049929041415</v>
      </c>
      <c r="C328" s="113">
        <v>268</v>
      </c>
    </row>
    <row r="329" spans="1:3" x14ac:dyDescent="0.3">
      <c r="A329" s="42" t="s">
        <v>40</v>
      </c>
      <c r="B329" s="83">
        <v>8.205676046117874E-2</v>
      </c>
      <c r="C329" s="113">
        <v>206</v>
      </c>
    </row>
    <row r="330" spans="1:3" x14ac:dyDescent="0.3">
      <c r="A330" s="42" t="s">
        <v>37</v>
      </c>
      <c r="B330" s="83">
        <v>6.9526910553533799E-2</v>
      </c>
      <c r="C330" s="113">
        <v>202</v>
      </c>
    </row>
    <row r="331" spans="1:3" x14ac:dyDescent="0.3">
      <c r="A331" s="42"/>
      <c r="B331" s="83">
        <v>0.10399399962497656</v>
      </c>
      <c r="C331" s="113">
        <v>197</v>
      </c>
    </row>
    <row r="332" spans="1:3" x14ac:dyDescent="0.3">
      <c r="A332" s="45" t="s">
        <v>37</v>
      </c>
      <c r="B332" s="84">
        <v>8.0484684812735408E-2</v>
      </c>
      <c r="C332" s="114">
        <v>279</v>
      </c>
    </row>
    <row r="333" spans="1:3" x14ac:dyDescent="0.3">
      <c r="A333" s="42" t="s">
        <v>37</v>
      </c>
      <c r="B333" s="83">
        <v>7.519889311656866E-2</v>
      </c>
      <c r="C333" s="113">
        <v>138</v>
      </c>
    </row>
    <row r="334" spans="1:3" x14ac:dyDescent="0.3">
      <c r="A334" s="42" t="s">
        <v>337</v>
      </c>
      <c r="B334" s="83">
        <v>0.16177247444144061</v>
      </c>
      <c r="C334" s="113">
        <v>289</v>
      </c>
    </row>
    <row r="335" spans="1:3" x14ac:dyDescent="0.3">
      <c r="A335" s="45" t="s">
        <v>37</v>
      </c>
      <c r="B335" s="84">
        <v>4.4299315445747112E-2</v>
      </c>
      <c r="C335" s="114">
        <v>287</v>
      </c>
    </row>
    <row r="336" spans="1:3" x14ac:dyDescent="0.3">
      <c r="A336" s="45" t="s">
        <v>37</v>
      </c>
      <c r="B336" s="84">
        <v>9.7668038408779148E-2</v>
      </c>
      <c r="C336" s="114">
        <v>265</v>
      </c>
    </row>
    <row r="337" spans="1:3" x14ac:dyDescent="0.3">
      <c r="A337" s="42"/>
      <c r="B337" s="83">
        <v>6.3600055728416843E-2</v>
      </c>
      <c r="C337" s="113">
        <v>80</v>
      </c>
    </row>
    <row r="338" spans="1:3" x14ac:dyDescent="0.3">
      <c r="A338" s="42" t="s">
        <v>37</v>
      </c>
      <c r="B338" s="83">
        <v>0.10772626931567329</v>
      </c>
      <c r="C338" s="113">
        <v>80</v>
      </c>
    </row>
    <row r="339" spans="1:3" x14ac:dyDescent="0.3">
      <c r="A339" s="45"/>
      <c r="B339" s="84">
        <v>3.9122543637545096E-2</v>
      </c>
      <c r="C339" s="114">
        <v>195</v>
      </c>
    </row>
    <row r="340" spans="1:3" x14ac:dyDescent="0.3">
      <c r="A340" s="42"/>
      <c r="B340" s="83">
        <v>3.9913595142645857E-2</v>
      </c>
      <c r="C340" s="113">
        <v>133</v>
      </c>
    </row>
    <row r="341" spans="1:3" x14ac:dyDescent="0.3">
      <c r="A341" s="45"/>
      <c r="B341" s="84">
        <v>0.14436927106067218</v>
      </c>
      <c r="C341" s="114">
        <v>125</v>
      </c>
    </row>
    <row r="342" spans="1:3" x14ac:dyDescent="0.3">
      <c r="A342" s="42" t="s">
        <v>37</v>
      </c>
      <c r="B342" s="83">
        <v>0.10863928268508422</v>
      </c>
      <c r="C342" s="113">
        <v>275</v>
      </c>
    </row>
    <row r="343" spans="1:3" x14ac:dyDescent="0.3">
      <c r="A343" s="45"/>
      <c r="B343" s="84">
        <v>9.379528682585335E-2</v>
      </c>
      <c r="C343" s="114">
        <v>211</v>
      </c>
    </row>
    <row r="344" spans="1:3" x14ac:dyDescent="0.3">
      <c r="A344" s="45" t="s">
        <v>37</v>
      </c>
      <c r="B344" s="84">
        <v>0.11750707750379519</v>
      </c>
      <c r="C344" s="114">
        <v>154</v>
      </c>
    </row>
    <row r="345" spans="1:3" x14ac:dyDescent="0.3">
      <c r="A345" s="45"/>
      <c r="B345" s="84">
        <v>3.9937155714174881E-2</v>
      </c>
      <c r="C345" s="114">
        <v>290</v>
      </c>
    </row>
    <row r="346" spans="1:3" x14ac:dyDescent="0.3">
      <c r="A346" s="45" t="s">
        <v>338</v>
      </c>
      <c r="B346" s="84">
        <v>0.11613367267898639</v>
      </c>
      <c r="C346" s="114">
        <v>201</v>
      </c>
    </row>
    <row r="347" spans="1:3" x14ac:dyDescent="0.3">
      <c r="A347" s="45"/>
      <c r="B347" s="84">
        <v>0.14600091693410577</v>
      </c>
      <c r="C347" s="114">
        <v>92</v>
      </c>
    </row>
    <row r="348" spans="1:3" x14ac:dyDescent="0.3">
      <c r="A348" s="42" t="s">
        <v>40</v>
      </c>
      <c r="B348" s="83">
        <v>9.8072192379135503E-2</v>
      </c>
      <c r="C348" s="113">
        <v>120</v>
      </c>
    </row>
    <row r="349" spans="1:3" x14ac:dyDescent="0.3">
      <c r="A349" s="45"/>
      <c r="B349" s="84">
        <v>0.15735977431131762</v>
      </c>
      <c r="C349" s="114">
        <v>213</v>
      </c>
    </row>
    <row r="350" spans="1:3" x14ac:dyDescent="0.3">
      <c r="A350" s="45" t="s">
        <v>337</v>
      </c>
      <c r="B350" s="84">
        <v>0.1087862256289851</v>
      </c>
      <c r="C350" s="114">
        <v>191</v>
      </c>
    </row>
    <row r="351" spans="1:3" x14ac:dyDescent="0.3">
      <c r="A351" s="42"/>
      <c r="B351" s="83">
        <v>0.20241060666934513</v>
      </c>
      <c r="C351" s="113">
        <v>148</v>
      </c>
    </row>
    <row r="352" spans="1:3" x14ac:dyDescent="0.3">
      <c r="A352" s="45" t="s">
        <v>40</v>
      </c>
      <c r="B352" s="84">
        <v>0.10249760265016128</v>
      </c>
      <c r="C352" s="114">
        <v>215</v>
      </c>
    </row>
    <row r="353" spans="1:3" x14ac:dyDescent="0.3">
      <c r="A353" s="45" t="s">
        <v>337</v>
      </c>
      <c r="B353" s="84">
        <v>0.15227535227535227</v>
      </c>
      <c r="C353" s="114">
        <v>261</v>
      </c>
    </row>
    <row r="354" spans="1:3" x14ac:dyDescent="0.3">
      <c r="A354" s="45" t="s">
        <v>37</v>
      </c>
      <c r="B354" s="84">
        <v>5.8723551855705859E-2</v>
      </c>
      <c r="C354" s="114">
        <v>87</v>
      </c>
    </row>
    <row r="355" spans="1:3" x14ac:dyDescent="0.3">
      <c r="A355" s="42"/>
      <c r="B355" s="83">
        <v>9.5101162290142052E-2</v>
      </c>
      <c r="C355" s="113">
        <v>239</v>
      </c>
    </row>
    <row r="356" spans="1:3" x14ac:dyDescent="0.3">
      <c r="A356" s="42"/>
      <c r="B356" s="83">
        <v>4.781732706514439E-2</v>
      </c>
      <c r="C356" s="113">
        <v>190</v>
      </c>
    </row>
    <row r="357" spans="1:3" x14ac:dyDescent="0.3">
      <c r="A357" s="45"/>
      <c r="B357" s="84">
        <v>0.13885094758408742</v>
      </c>
      <c r="C357" s="114">
        <v>259</v>
      </c>
    </row>
    <row r="358" spans="1:3" x14ac:dyDescent="0.3">
      <c r="A358" s="42"/>
      <c r="B358" s="83">
        <v>0.10600966926007749</v>
      </c>
      <c r="C358" s="113">
        <v>291</v>
      </c>
    </row>
    <row r="359" spans="1:3" x14ac:dyDescent="0.3">
      <c r="A359" s="42" t="s">
        <v>338</v>
      </c>
      <c r="B359" s="83">
        <v>8.8283323127168814E-2</v>
      </c>
      <c r="C359" s="113">
        <v>177</v>
      </c>
    </row>
    <row r="360" spans="1:3" x14ac:dyDescent="0.3">
      <c r="A360" s="45" t="s">
        <v>338</v>
      </c>
      <c r="B360" s="84">
        <v>2.50275284149232E-2</v>
      </c>
      <c r="C360" s="114">
        <v>220</v>
      </c>
    </row>
    <row r="361" spans="1:3" x14ac:dyDescent="0.3">
      <c r="A361" s="42" t="s">
        <v>338</v>
      </c>
      <c r="B361" s="83">
        <v>0.11124541239039185</v>
      </c>
      <c r="C361" s="113">
        <v>116</v>
      </c>
    </row>
    <row r="362" spans="1:3" x14ac:dyDescent="0.3">
      <c r="A362" s="42" t="s">
        <v>40</v>
      </c>
      <c r="B362" s="83">
        <v>8.8087436599488311E-2</v>
      </c>
      <c r="C362" s="113">
        <v>171</v>
      </c>
    </row>
    <row r="363" spans="1:3" x14ac:dyDescent="0.3">
      <c r="A363" s="45" t="s">
        <v>37</v>
      </c>
      <c r="B363" s="84">
        <v>4.3619068768968837E-2</v>
      </c>
      <c r="C363" s="114">
        <v>182</v>
      </c>
    </row>
    <row r="364" spans="1:3" x14ac:dyDescent="0.3">
      <c r="A364" s="45"/>
      <c r="B364" s="84">
        <v>3.6351938233874857E-2</v>
      </c>
      <c r="C364" s="114">
        <v>237</v>
      </c>
    </row>
    <row r="365" spans="1:3" x14ac:dyDescent="0.3">
      <c r="A365" s="42" t="s">
        <v>37</v>
      </c>
      <c r="B365" s="83">
        <v>9.2093661212893113E-2</v>
      </c>
      <c r="C365" s="113">
        <v>205</v>
      </c>
    </row>
    <row r="366" spans="1:3" x14ac:dyDescent="0.3">
      <c r="A366" s="42" t="s">
        <v>338</v>
      </c>
      <c r="B366" s="83">
        <v>3.5777344113000653E-2</v>
      </c>
      <c r="C366" s="113">
        <v>109</v>
      </c>
    </row>
    <row r="367" spans="1:3" x14ac:dyDescent="0.3">
      <c r="A367" s="45" t="s">
        <v>37</v>
      </c>
      <c r="B367" s="84">
        <v>9.0267383317458164E-2</v>
      </c>
      <c r="C367" s="114">
        <v>227</v>
      </c>
    </row>
    <row r="368" spans="1:3" x14ac:dyDescent="0.3">
      <c r="A368" s="45" t="s">
        <v>40</v>
      </c>
      <c r="B368" s="84">
        <v>0.17658969920637513</v>
      </c>
      <c r="C368" s="114">
        <v>267</v>
      </c>
    </row>
    <row r="369" spans="1:3" x14ac:dyDescent="0.3">
      <c r="A369" s="45"/>
      <c r="B369" s="84">
        <v>0.18517978620019437</v>
      </c>
      <c r="C369" s="114">
        <v>221</v>
      </c>
    </row>
    <row r="370" spans="1:3" x14ac:dyDescent="0.3">
      <c r="A370" s="42" t="s">
        <v>337</v>
      </c>
      <c r="B370" s="83">
        <v>4.6406515707509172E-2</v>
      </c>
      <c r="C370" s="113">
        <v>227</v>
      </c>
    </row>
    <row r="371" spans="1:3" x14ac:dyDescent="0.3">
      <c r="A371" s="42"/>
      <c r="B371" s="83">
        <v>0.10657378184897237</v>
      </c>
      <c r="C371" s="113">
        <v>107</v>
      </c>
    </row>
    <row r="372" spans="1:3" x14ac:dyDescent="0.3">
      <c r="A372" s="45"/>
      <c r="B372" s="84">
        <v>0.1607525766064882</v>
      </c>
      <c r="C372" s="114">
        <v>135</v>
      </c>
    </row>
    <row r="373" spans="1:3" x14ac:dyDescent="0.3">
      <c r="A373" s="42"/>
      <c r="B373" s="83">
        <v>8.1549489395129612E-2</v>
      </c>
      <c r="C373" s="113">
        <v>193</v>
      </c>
    </row>
    <row r="374" spans="1:3" x14ac:dyDescent="0.3">
      <c r="A374" s="42" t="s">
        <v>40</v>
      </c>
      <c r="B374" s="83">
        <v>5.2042268944371438E-2</v>
      </c>
      <c r="C374" s="113">
        <v>270</v>
      </c>
    </row>
    <row r="375" spans="1:3" x14ac:dyDescent="0.3">
      <c r="A375" s="45" t="s">
        <v>337</v>
      </c>
      <c r="B375" s="84">
        <v>4.0418432004799221E-2</v>
      </c>
      <c r="C375" s="114">
        <v>88</v>
      </c>
    </row>
    <row r="376" spans="1:3" x14ac:dyDescent="0.3">
      <c r="A376" s="45" t="s">
        <v>37</v>
      </c>
      <c r="B376" s="84">
        <v>5.1660428636136076E-2</v>
      </c>
      <c r="C376" s="114">
        <v>101</v>
      </c>
    </row>
    <row r="377" spans="1:3" x14ac:dyDescent="0.3">
      <c r="A377" s="45"/>
      <c r="B377" s="84">
        <v>7.611534979956032E-2</v>
      </c>
      <c r="C377" s="114">
        <v>207</v>
      </c>
    </row>
    <row r="378" spans="1:3" x14ac:dyDescent="0.3">
      <c r="A378" s="45"/>
      <c r="B378" s="84">
        <v>9.6080290300434801E-2</v>
      </c>
      <c r="C378" s="114">
        <v>88</v>
      </c>
    </row>
    <row r="379" spans="1:3" x14ac:dyDescent="0.3">
      <c r="A379" s="42" t="s">
        <v>37</v>
      </c>
      <c r="B379" s="83">
        <v>0.13476527900797167</v>
      </c>
      <c r="C379" s="113">
        <v>109</v>
      </c>
    </row>
    <row r="380" spans="1:3" x14ac:dyDescent="0.3">
      <c r="A380" s="45" t="s">
        <v>40</v>
      </c>
      <c r="B380" s="84">
        <v>0.14335162515829464</v>
      </c>
      <c r="C380" s="114">
        <v>128</v>
      </c>
    </row>
    <row r="381" spans="1:3" x14ac:dyDescent="0.3">
      <c r="A381" s="45" t="s">
        <v>37</v>
      </c>
      <c r="B381" s="84">
        <v>7.3021390374331557E-2</v>
      </c>
      <c r="C381" s="114">
        <v>157</v>
      </c>
    </row>
    <row r="382" spans="1:3" x14ac:dyDescent="0.3">
      <c r="A382" s="45"/>
      <c r="B382" s="84">
        <v>8.8232696960599044E-2</v>
      </c>
      <c r="C382" s="114">
        <v>184</v>
      </c>
    </row>
    <row r="383" spans="1:3" x14ac:dyDescent="0.3">
      <c r="A383" s="45"/>
      <c r="B383" s="84">
        <v>5.9312714776632303E-2</v>
      </c>
      <c r="C383" s="114">
        <v>182</v>
      </c>
    </row>
    <row r="384" spans="1:3" x14ac:dyDescent="0.3">
      <c r="A384" s="45" t="s">
        <v>37</v>
      </c>
      <c r="B384" s="84">
        <v>0.1471166637746544</v>
      </c>
      <c r="C384" s="114">
        <v>180</v>
      </c>
    </row>
    <row r="385" spans="1:3" x14ac:dyDescent="0.3">
      <c r="A385" s="45"/>
      <c r="B385" s="84">
        <v>0.16283364109451065</v>
      </c>
      <c r="C385" s="114">
        <v>122</v>
      </c>
    </row>
    <row r="386" spans="1:3" x14ac:dyDescent="0.3">
      <c r="A386" s="42" t="s">
        <v>37</v>
      </c>
      <c r="B386" s="83">
        <v>6.0050273034584378E-2</v>
      </c>
      <c r="C386" s="113">
        <v>264</v>
      </c>
    </row>
    <row r="387" spans="1:3" x14ac:dyDescent="0.3">
      <c r="A387" s="42" t="s">
        <v>37</v>
      </c>
      <c r="B387" s="83">
        <v>4.4438295517432211E-2</v>
      </c>
      <c r="C387" s="113">
        <v>169</v>
      </c>
    </row>
    <row r="388" spans="1:3" x14ac:dyDescent="0.3">
      <c r="A388" s="45" t="s">
        <v>37</v>
      </c>
      <c r="B388" s="84">
        <v>6.1158416768035934E-2</v>
      </c>
      <c r="C388" s="114">
        <v>160</v>
      </c>
    </row>
    <row r="389" spans="1:3" x14ac:dyDescent="0.3">
      <c r="A389" s="42" t="s">
        <v>37</v>
      </c>
      <c r="B389" s="83">
        <v>0.18086628511966701</v>
      </c>
      <c r="C389" s="113">
        <v>298</v>
      </c>
    </row>
    <row r="390" spans="1:3" x14ac:dyDescent="0.3">
      <c r="A390" s="42" t="s">
        <v>37</v>
      </c>
      <c r="B390" s="83">
        <v>9.8770390509144837E-2</v>
      </c>
      <c r="C390" s="113">
        <v>120</v>
      </c>
    </row>
    <row r="391" spans="1:3" x14ac:dyDescent="0.3">
      <c r="A391" s="42" t="s">
        <v>37</v>
      </c>
      <c r="B391" s="83">
        <v>0.17642537414658407</v>
      </c>
      <c r="C391" s="113">
        <v>160</v>
      </c>
    </row>
    <row r="392" spans="1:3" x14ac:dyDescent="0.3">
      <c r="A392" s="45"/>
      <c r="B392" s="84">
        <v>7.8512996756861422E-2</v>
      </c>
      <c r="C392" s="114">
        <v>111</v>
      </c>
    </row>
    <row r="393" spans="1:3" x14ac:dyDescent="0.3">
      <c r="A393" s="42" t="s">
        <v>40</v>
      </c>
      <c r="B393" s="83">
        <v>7.974671020085089E-2</v>
      </c>
      <c r="C393" s="113">
        <v>82</v>
      </c>
    </row>
    <row r="394" spans="1:3" x14ac:dyDescent="0.3">
      <c r="A394" s="45"/>
      <c r="B394" s="84">
        <v>6.3999063999063993E-2</v>
      </c>
      <c r="C394" s="114">
        <v>169</v>
      </c>
    </row>
    <row r="395" spans="1:3" x14ac:dyDescent="0.3">
      <c r="A395" s="42" t="s">
        <v>37</v>
      </c>
      <c r="B395" s="83">
        <v>0.1439786294499264</v>
      </c>
      <c r="C395" s="113">
        <v>98</v>
      </c>
    </row>
    <row r="396" spans="1:3" x14ac:dyDescent="0.3">
      <c r="A396" s="42"/>
      <c r="B396" s="83">
        <v>0.14130742382794076</v>
      </c>
      <c r="C396" s="113">
        <v>241</v>
      </c>
    </row>
    <row r="397" spans="1:3" x14ac:dyDescent="0.3">
      <c r="A397" s="45" t="s">
        <v>37</v>
      </c>
      <c r="B397" s="84">
        <v>0.13528464682326713</v>
      </c>
      <c r="C397" s="114">
        <v>114</v>
      </c>
    </row>
    <row r="398" spans="1:3" x14ac:dyDescent="0.3">
      <c r="A398" s="45"/>
      <c r="B398" s="84">
        <v>0.10550008380623997</v>
      </c>
      <c r="C398" s="114">
        <v>191</v>
      </c>
    </row>
    <row r="399" spans="1:3" x14ac:dyDescent="0.3">
      <c r="A399" s="42" t="s">
        <v>337</v>
      </c>
      <c r="B399" s="83">
        <v>9.4690354648038683E-2</v>
      </c>
      <c r="C399" s="113">
        <v>157</v>
      </c>
    </row>
    <row r="400" spans="1:3" x14ac:dyDescent="0.3">
      <c r="A400" s="42"/>
      <c r="B400" s="83">
        <v>6.934441139598338E-2</v>
      </c>
      <c r="C400" s="113">
        <v>258</v>
      </c>
    </row>
    <row r="401" spans="1:3" x14ac:dyDescent="0.3">
      <c r="A401" s="42"/>
      <c r="B401" s="83">
        <v>0.10077583818232197</v>
      </c>
      <c r="C401" s="113">
        <v>181</v>
      </c>
    </row>
    <row r="402" spans="1:3" x14ac:dyDescent="0.3">
      <c r="A402" s="42"/>
      <c r="B402" s="83">
        <v>8.2866791077934779E-2</v>
      </c>
      <c r="C402" s="113">
        <v>218</v>
      </c>
    </row>
    <row r="403" spans="1:3" x14ac:dyDescent="0.3">
      <c r="A403" s="42"/>
      <c r="B403" s="83">
        <v>0.14485195154777927</v>
      </c>
      <c r="C403" s="113">
        <v>282</v>
      </c>
    </row>
    <row r="404" spans="1:3" x14ac:dyDescent="0.3">
      <c r="A404" s="45" t="s">
        <v>37</v>
      </c>
      <c r="B404" s="84">
        <v>6.6614370881706936E-2</v>
      </c>
      <c r="C404" s="114">
        <v>263</v>
      </c>
    </row>
    <row r="405" spans="1:3" x14ac:dyDescent="0.3">
      <c r="A405" s="45" t="s">
        <v>337</v>
      </c>
      <c r="B405" s="84">
        <v>8.8705674736667947E-2</v>
      </c>
      <c r="C405" s="114">
        <v>132</v>
      </c>
    </row>
    <row r="406" spans="1:3" x14ac:dyDescent="0.3">
      <c r="A406" s="45"/>
      <c r="B406" s="84">
        <v>6.2084853138798232E-2</v>
      </c>
      <c r="C406" s="114">
        <v>133</v>
      </c>
    </row>
    <row r="407" spans="1:3" x14ac:dyDescent="0.3">
      <c r="A407" s="45" t="s">
        <v>37</v>
      </c>
      <c r="B407" s="84">
        <v>0.23193025217961938</v>
      </c>
      <c r="C407" s="114">
        <v>91</v>
      </c>
    </row>
    <row r="408" spans="1:3" x14ac:dyDescent="0.3">
      <c r="A408" s="42"/>
      <c r="B408" s="83">
        <v>8.6598679355949518E-2</v>
      </c>
      <c r="C408" s="113">
        <v>102</v>
      </c>
    </row>
    <row r="409" spans="1:3" x14ac:dyDescent="0.3">
      <c r="A409" s="42" t="s">
        <v>40</v>
      </c>
      <c r="B409" s="83">
        <v>0.10949965468790931</v>
      </c>
      <c r="C409" s="113">
        <v>118</v>
      </c>
    </row>
    <row r="410" spans="1:3" x14ac:dyDescent="0.3">
      <c r="A410" s="42" t="s">
        <v>37</v>
      </c>
      <c r="B410" s="83">
        <v>0.13838335084182732</v>
      </c>
      <c r="C410" s="113">
        <v>164</v>
      </c>
    </row>
    <row r="411" spans="1:3" x14ac:dyDescent="0.3">
      <c r="A411" s="42"/>
      <c r="B411" s="83">
        <v>0.16033389770445328</v>
      </c>
      <c r="C411" s="113">
        <v>131</v>
      </c>
    </row>
    <row r="412" spans="1:3" x14ac:dyDescent="0.3">
      <c r="A412" s="45" t="s">
        <v>40</v>
      </c>
      <c r="B412" s="84">
        <v>0.16641897515158721</v>
      </c>
      <c r="C412" s="114">
        <v>194</v>
      </c>
    </row>
    <row r="413" spans="1:3" x14ac:dyDescent="0.3">
      <c r="A413" s="42" t="s">
        <v>37</v>
      </c>
      <c r="B413" s="83">
        <v>5.2993862995521647E-2</v>
      </c>
      <c r="C413" s="113">
        <v>170</v>
      </c>
    </row>
    <row r="414" spans="1:3" x14ac:dyDescent="0.3">
      <c r="A414" s="45" t="s">
        <v>37</v>
      </c>
      <c r="B414" s="84">
        <v>3.9674653122814763E-2</v>
      </c>
      <c r="C414" s="114">
        <v>282</v>
      </c>
    </row>
    <row r="415" spans="1:3" x14ac:dyDescent="0.3">
      <c r="A415" s="42"/>
      <c r="B415" s="83">
        <v>5.1173769923769923E-2</v>
      </c>
      <c r="C415" s="113">
        <v>141</v>
      </c>
    </row>
    <row r="416" spans="1:3" x14ac:dyDescent="0.3">
      <c r="A416" s="42"/>
      <c r="B416" s="83">
        <v>8.6978468608031198E-2</v>
      </c>
      <c r="C416" s="113">
        <v>251</v>
      </c>
    </row>
    <row r="417" spans="1:3" x14ac:dyDescent="0.3">
      <c r="A417" s="45"/>
      <c r="B417" s="84">
        <v>4.9881554861634543E-2</v>
      </c>
      <c r="C417" s="114">
        <v>245</v>
      </c>
    </row>
    <row r="418" spans="1:3" x14ac:dyDescent="0.3">
      <c r="A418" s="45"/>
      <c r="B418" s="84">
        <v>3.4977365592309385E-2</v>
      </c>
      <c r="C418" s="114">
        <v>211</v>
      </c>
    </row>
    <row r="419" spans="1:3" x14ac:dyDescent="0.3">
      <c r="A419" s="42" t="s">
        <v>337</v>
      </c>
      <c r="B419" s="83">
        <v>4.1192869195216787E-2</v>
      </c>
      <c r="C419" s="113">
        <v>195</v>
      </c>
    </row>
    <row r="420" spans="1:3" x14ac:dyDescent="0.3">
      <c r="A420" s="45" t="s">
        <v>37</v>
      </c>
      <c r="B420" s="84">
        <v>5.7963823356939871E-2</v>
      </c>
      <c r="C420" s="114">
        <v>176</v>
      </c>
    </row>
    <row r="421" spans="1:3" x14ac:dyDescent="0.3">
      <c r="A421" s="45"/>
      <c r="B421" s="84">
        <v>4.7099090384865788E-2</v>
      </c>
      <c r="C421" s="114">
        <v>277</v>
      </c>
    </row>
    <row r="422" spans="1:3" x14ac:dyDescent="0.3">
      <c r="A422" s="45"/>
      <c r="B422" s="84">
        <v>9.3980281287635997E-2</v>
      </c>
      <c r="C422" s="114">
        <v>200</v>
      </c>
    </row>
    <row r="423" spans="1:3" x14ac:dyDescent="0.3">
      <c r="A423" s="42" t="s">
        <v>337</v>
      </c>
      <c r="B423" s="83">
        <v>3.5847516903707161E-2</v>
      </c>
      <c r="C423" s="113">
        <v>230</v>
      </c>
    </row>
    <row r="424" spans="1:3" x14ac:dyDescent="0.3">
      <c r="A424" s="42" t="s">
        <v>338</v>
      </c>
      <c r="B424" s="83">
        <v>5.8764788517847777E-2</v>
      </c>
      <c r="C424" s="113">
        <v>236</v>
      </c>
    </row>
    <row r="425" spans="1:3" x14ac:dyDescent="0.3">
      <c r="A425" s="45" t="s">
        <v>37</v>
      </c>
      <c r="B425" s="84">
        <v>8.5455879813503707E-2</v>
      </c>
      <c r="C425" s="114">
        <v>299</v>
      </c>
    </row>
    <row r="426" spans="1:3" x14ac:dyDescent="0.3">
      <c r="A426" s="45"/>
      <c r="B426" s="84">
        <v>0.11041472996071611</v>
      </c>
      <c r="C426" s="114">
        <v>173</v>
      </c>
    </row>
    <row r="427" spans="1:3" x14ac:dyDescent="0.3">
      <c r="A427" s="45" t="s">
        <v>37</v>
      </c>
      <c r="B427" s="84">
        <v>7.064131830503638E-2</v>
      </c>
      <c r="C427" s="114">
        <v>113</v>
      </c>
    </row>
    <row r="428" spans="1:3" x14ac:dyDescent="0.3">
      <c r="A428" s="42"/>
      <c r="B428" s="83">
        <v>3.4738711788351875E-2</v>
      </c>
      <c r="C428" s="113">
        <v>145</v>
      </c>
    </row>
    <row r="429" spans="1:3" x14ac:dyDescent="0.3">
      <c r="A429" s="42" t="s">
        <v>37</v>
      </c>
      <c r="B429" s="83">
        <v>0.10461100954702417</v>
      </c>
      <c r="C429" s="113">
        <v>176</v>
      </c>
    </row>
    <row r="430" spans="1:3" x14ac:dyDescent="0.3">
      <c r="A430" s="42" t="s">
        <v>337</v>
      </c>
      <c r="B430" s="83">
        <v>7.9993453221219743E-2</v>
      </c>
      <c r="C430" s="113">
        <v>224</v>
      </c>
    </row>
    <row r="431" spans="1:3" x14ac:dyDescent="0.3">
      <c r="A431" s="45" t="s">
        <v>338</v>
      </c>
      <c r="B431" s="84">
        <v>2.811915575741384E-2</v>
      </c>
      <c r="C431" s="114">
        <v>205</v>
      </c>
    </row>
    <row r="432" spans="1:3" x14ac:dyDescent="0.3">
      <c r="A432" s="45"/>
      <c r="B432" s="84">
        <v>5.4592988710635768E-2</v>
      </c>
      <c r="C432" s="114">
        <v>205</v>
      </c>
    </row>
    <row r="433" spans="1:3" x14ac:dyDescent="0.3">
      <c r="A433" s="45"/>
      <c r="B433" s="84">
        <v>9.2466575934672959E-2</v>
      </c>
      <c r="C433" s="114">
        <v>148</v>
      </c>
    </row>
    <row r="434" spans="1:3" x14ac:dyDescent="0.3">
      <c r="A434" s="45" t="s">
        <v>338</v>
      </c>
      <c r="B434" s="84">
        <v>4.7508511296812134E-2</v>
      </c>
      <c r="C434" s="114">
        <v>139</v>
      </c>
    </row>
    <row r="435" spans="1:3" x14ac:dyDescent="0.3">
      <c r="A435" s="42"/>
      <c r="B435" s="83">
        <v>7.4861184558434685E-2</v>
      </c>
      <c r="C435" s="113">
        <v>196</v>
      </c>
    </row>
    <row r="436" spans="1:3" x14ac:dyDescent="0.3">
      <c r="A436" s="42" t="s">
        <v>37</v>
      </c>
      <c r="B436" s="83">
        <v>9.6834214933149046E-2</v>
      </c>
      <c r="C436" s="113">
        <v>127</v>
      </c>
    </row>
    <row r="437" spans="1:3" x14ac:dyDescent="0.3">
      <c r="A437" s="42"/>
      <c r="B437" s="83">
        <v>0.18723441538528934</v>
      </c>
      <c r="C437" s="113">
        <v>199</v>
      </c>
    </row>
    <row r="438" spans="1:3" x14ac:dyDescent="0.3">
      <c r="A438" s="42" t="s">
        <v>37</v>
      </c>
      <c r="B438" s="83">
        <v>0.16610252187966945</v>
      </c>
      <c r="C438" s="113">
        <v>296</v>
      </c>
    </row>
    <row r="439" spans="1:3" x14ac:dyDescent="0.3">
      <c r="A439" s="42" t="s">
        <v>337</v>
      </c>
      <c r="B439" s="83">
        <v>2.7809319322005904E-2</v>
      </c>
      <c r="C439" s="113">
        <v>236</v>
      </c>
    </row>
    <row r="440" spans="1:3" x14ac:dyDescent="0.3">
      <c r="A440" s="42"/>
      <c r="B440" s="83">
        <v>0.11645414595490239</v>
      </c>
      <c r="C440" s="113">
        <v>289</v>
      </c>
    </row>
    <row r="441" spans="1:3" x14ac:dyDescent="0.3">
      <c r="A441" s="45" t="s">
        <v>37</v>
      </c>
      <c r="B441" s="84">
        <v>8.702596166915863E-2</v>
      </c>
      <c r="C441" s="114">
        <v>236</v>
      </c>
    </row>
    <row r="442" spans="1:3" x14ac:dyDescent="0.3">
      <c r="A442" s="42" t="s">
        <v>40</v>
      </c>
      <c r="B442" s="83">
        <v>7.0594928198320889E-2</v>
      </c>
      <c r="C442" s="113">
        <v>273</v>
      </c>
    </row>
    <row r="443" spans="1:3" x14ac:dyDescent="0.3">
      <c r="A443" s="42"/>
      <c r="B443" s="83">
        <v>0.11731037798484398</v>
      </c>
      <c r="C443" s="113">
        <v>92</v>
      </c>
    </row>
    <row r="444" spans="1:3" x14ac:dyDescent="0.3">
      <c r="A444" s="42"/>
      <c r="B444" s="83">
        <v>9.2634518149573616E-2</v>
      </c>
      <c r="C444" s="113">
        <v>105</v>
      </c>
    </row>
    <row r="445" spans="1:3" x14ac:dyDescent="0.3">
      <c r="A445" s="45" t="s">
        <v>37</v>
      </c>
      <c r="B445" s="84">
        <v>6.0370736430199488E-2</v>
      </c>
      <c r="C445" s="114">
        <v>82</v>
      </c>
    </row>
    <row r="446" spans="1:3" x14ac:dyDescent="0.3">
      <c r="A446" s="42" t="s">
        <v>37</v>
      </c>
      <c r="B446" s="83">
        <v>0.11477740733477153</v>
      </c>
      <c r="C446" s="113">
        <v>277</v>
      </c>
    </row>
    <row r="447" spans="1:3" x14ac:dyDescent="0.3">
      <c r="A447" s="45"/>
      <c r="B447" s="84">
        <v>8.1504318676747664E-2</v>
      </c>
      <c r="C447" s="114">
        <v>245</v>
      </c>
    </row>
    <row r="448" spans="1:3" x14ac:dyDescent="0.3">
      <c r="A448" s="45" t="s">
        <v>37</v>
      </c>
      <c r="B448" s="84">
        <v>7.1988159338556151E-2</v>
      </c>
      <c r="C448" s="114">
        <v>208</v>
      </c>
    </row>
    <row r="449" spans="1:3" x14ac:dyDescent="0.3">
      <c r="A449" s="45" t="s">
        <v>337</v>
      </c>
      <c r="B449" s="84">
        <v>0.10708707332819627</v>
      </c>
      <c r="C449" s="114">
        <v>270</v>
      </c>
    </row>
    <row r="450" spans="1:3" x14ac:dyDescent="0.3">
      <c r="A450" s="42"/>
      <c r="B450" s="83">
        <v>8.1341895638137346E-2</v>
      </c>
      <c r="C450" s="113">
        <v>286</v>
      </c>
    </row>
    <row r="451" spans="1:3" x14ac:dyDescent="0.3">
      <c r="A451" s="45" t="s">
        <v>37</v>
      </c>
      <c r="B451" s="84">
        <v>9.4928992718046723E-2</v>
      </c>
      <c r="C451" s="114">
        <v>88</v>
      </c>
    </row>
    <row r="452" spans="1:3" x14ac:dyDescent="0.3">
      <c r="A452" s="45"/>
      <c r="B452" s="84">
        <v>6.9360859297630834E-2</v>
      </c>
      <c r="C452" s="114">
        <v>219</v>
      </c>
    </row>
    <row r="453" spans="1:3" x14ac:dyDescent="0.3">
      <c r="A453" s="42"/>
      <c r="B453" s="83">
        <v>9.2425876010781671E-2</v>
      </c>
      <c r="C453" s="113">
        <v>272</v>
      </c>
    </row>
    <row r="454" spans="1:3" x14ac:dyDescent="0.3">
      <c r="A454" s="45" t="s">
        <v>337</v>
      </c>
      <c r="B454" s="84">
        <v>8.2469701307376658E-2</v>
      </c>
      <c r="C454" s="114">
        <v>87</v>
      </c>
    </row>
    <row r="455" spans="1:3" x14ac:dyDescent="0.3">
      <c r="A455" s="42"/>
      <c r="B455" s="83">
        <v>5.9585542168674697E-2</v>
      </c>
      <c r="C455" s="113">
        <v>92</v>
      </c>
    </row>
    <row r="456" spans="1:3" x14ac:dyDescent="0.3">
      <c r="A456" s="45" t="s">
        <v>37</v>
      </c>
      <c r="B456" s="84">
        <v>0.10400389436534015</v>
      </c>
      <c r="C456" s="114">
        <v>236</v>
      </c>
    </row>
    <row r="457" spans="1:3" x14ac:dyDescent="0.3">
      <c r="A457" s="42" t="s">
        <v>40</v>
      </c>
      <c r="B457" s="83">
        <v>3.8832755240536872E-2</v>
      </c>
      <c r="C457" s="113">
        <v>230</v>
      </c>
    </row>
    <row r="458" spans="1:3" x14ac:dyDescent="0.3">
      <c r="A458" s="42" t="s">
        <v>338</v>
      </c>
      <c r="B458" s="83">
        <v>0.19390491670052823</v>
      </c>
      <c r="C458" s="113">
        <v>158</v>
      </c>
    </row>
    <row r="459" spans="1:3" x14ac:dyDescent="0.3">
      <c r="A459" s="42" t="s">
        <v>337</v>
      </c>
      <c r="B459" s="83">
        <v>0.16116683482699271</v>
      </c>
      <c r="C459" s="113">
        <v>216</v>
      </c>
    </row>
    <row r="460" spans="1:3" x14ac:dyDescent="0.3">
      <c r="A460" s="45"/>
      <c r="B460" s="84">
        <v>8.3133241487896081E-2</v>
      </c>
      <c r="C460" s="114">
        <v>219</v>
      </c>
    </row>
    <row r="461" spans="1:3" x14ac:dyDescent="0.3">
      <c r="A461" s="42" t="s">
        <v>40</v>
      </c>
      <c r="B461" s="83">
        <v>4.9951325040562468E-2</v>
      </c>
      <c r="C461" s="113">
        <v>293</v>
      </c>
    </row>
    <row r="462" spans="1:3" x14ac:dyDescent="0.3">
      <c r="A462" s="45"/>
      <c r="B462" s="84">
        <v>0.1552751489660007</v>
      </c>
      <c r="C462" s="114">
        <v>275</v>
      </c>
    </row>
    <row r="463" spans="1:3" x14ac:dyDescent="0.3">
      <c r="A463" s="45" t="s">
        <v>37</v>
      </c>
      <c r="B463" s="84">
        <v>0.11258173796580792</v>
      </c>
      <c r="C463" s="114">
        <v>100</v>
      </c>
    </row>
    <row r="464" spans="1:3" x14ac:dyDescent="0.3">
      <c r="A464" s="42" t="s">
        <v>40</v>
      </c>
      <c r="B464" s="83">
        <v>0.11046681895390383</v>
      </c>
      <c r="C464" s="113">
        <v>256</v>
      </c>
    </row>
    <row r="465" spans="1:3" x14ac:dyDescent="0.3">
      <c r="A465" s="45"/>
      <c r="B465" s="84">
        <v>3.5523669554455448E-2</v>
      </c>
      <c r="C465" s="114">
        <v>168</v>
      </c>
    </row>
    <row r="466" spans="1:3" x14ac:dyDescent="0.3">
      <c r="A466" s="45"/>
      <c r="B466" s="84">
        <v>0.10652531529884847</v>
      </c>
      <c r="C466" s="114">
        <v>258</v>
      </c>
    </row>
    <row r="467" spans="1:3" x14ac:dyDescent="0.3">
      <c r="A467" s="45"/>
      <c r="B467" s="84">
        <v>9.2244407295403744E-2</v>
      </c>
      <c r="C467" s="114">
        <v>288</v>
      </c>
    </row>
    <row r="468" spans="1:3" x14ac:dyDescent="0.3">
      <c r="A468" s="45" t="s">
        <v>338</v>
      </c>
      <c r="B468" s="84">
        <v>0.1612578785034196</v>
      </c>
      <c r="C468" s="114">
        <v>298</v>
      </c>
    </row>
    <row r="469" spans="1:3" x14ac:dyDescent="0.3">
      <c r="A469" s="45" t="s">
        <v>37</v>
      </c>
      <c r="B469" s="84">
        <v>0.10143081434961637</v>
      </c>
      <c r="C469" s="114">
        <v>121</v>
      </c>
    </row>
    <row r="470" spans="1:3" x14ac:dyDescent="0.3">
      <c r="A470" s="42" t="s">
        <v>338</v>
      </c>
      <c r="B470" s="83">
        <v>8.4528099363643333E-2</v>
      </c>
      <c r="C470" s="113">
        <v>175</v>
      </c>
    </row>
    <row r="471" spans="1:3" x14ac:dyDescent="0.3">
      <c r="A471" s="42"/>
      <c r="B471" s="83">
        <v>0.15513030574705536</v>
      </c>
      <c r="C471" s="113">
        <v>259</v>
      </c>
    </row>
    <row r="472" spans="1:3" x14ac:dyDescent="0.3">
      <c r="A472" s="45"/>
      <c r="B472" s="84">
        <v>9.8031707130274953E-2</v>
      </c>
      <c r="C472" s="114">
        <v>135</v>
      </c>
    </row>
    <row r="473" spans="1:3" x14ac:dyDescent="0.3">
      <c r="A473" s="42" t="s">
        <v>338</v>
      </c>
      <c r="B473" s="83">
        <v>0.16447098339242397</v>
      </c>
      <c r="C473" s="113">
        <v>278</v>
      </c>
    </row>
    <row r="474" spans="1:3" x14ac:dyDescent="0.3">
      <c r="A474" s="45"/>
      <c r="B474" s="84">
        <v>0.10077178019329269</v>
      </c>
      <c r="C474" s="114">
        <v>230</v>
      </c>
    </row>
    <row r="475" spans="1:3" x14ac:dyDescent="0.3">
      <c r="A475" s="42" t="s">
        <v>338</v>
      </c>
      <c r="B475" s="83">
        <v>0.10256458679558846</v>
      </c>
      <c r="C475" s="113">
        <v>269</v>
      </c>
    </row>
    <row r="476" spans="1:3" x14ac:dyDescent="0.3">
      <c r="A476" s="42" t="s">
        <v>337</v>
      </c>
      <c r="B476" s="83">
        <v>5.6980732739746021E-2</v>
      </c>
      <c r="C476" s="113">
        <v>98</v>
      </c>
    </row>
    <row r="477" spans="1:3" x14ac:dyDescent="0.3">
      <c r="A477" s="42" t="s">
        <v>37</v>
      </c>
      <c r="B477" s="83">
        <v>8.4227733207149463E-2</v>
      </c>
      <c r="C477" s="113">
        <v>150</v>
      </c>
    </row>
    <row r="478" spans="1:3" x14ac:dyDescent="0.3">
      <c r="A478" s="45"/>
      <c r="B478" s="84">
        <v>0.1728980597474592</v>
      </c>
      <c r="C478" s="114">
        <v>178</v>
      </c>
    </row>
    <row r="479" spans="1:3" x14ac:dyDescent="0.3">
      <c r="A479" s="45"/>
      <c r="B479" s="84">
        <v>7.3899528727564417E-2</v>
      </c>
      <c r="C479" s="114">
        <v>161</v>
      </c>
    </row>
    <row r="480" spans="1:3" x14ac:dyDescent="0.3">
      <c r="A480" s="42"/>
      <c r="B480" s="83">
        <v>7.090200025160398E-2</v>
      </c>
      <c r="C480" s="113">
        <v>208</v>
      </c>
    </row>
    <row r="481" spans="1:3" x14ac:dyDescent="0.3">
      <c r="A481" s="42" t="s">
        <v>37</v>
      </c>
      <c r="B481" s="83">
        <v>7.7731488624869283E-2</v>
      </c>
      <c r="C481" s="113">
        <v>85</v>
      </c>
    </row>
    <row r="482" spans="1:3" x14ac:dyDescent="0.3">
      <c r="A482" s="45"/>
      <c r="B482" s="84">
        <v>4.2982250109049422E-2</v>
      </c>
      <c r="C482" s="114">
        <v>281</v>
      </c>
    </row>
    <row r="483" spans="1:3" x14ac:dyDescent="0.3">
      <c r="A483" s="42" t="s">
        <v>37</v>
      </c>
      <c r="B483" s="83">
        <v>7.2213401079707848E-2</v>
      </c>
      <c r="C483" s="113">
        <v>112</v>
      </c>
    </row>
    <row r="484" spans="1:3" x14ac:dyDescent="0.3">
      <c r="A484" s="42"/>
      <c r="B484" s="83">
        <v>0.16743869209809265</v>
      </c>
      <c r="C484" s="113">
        <v>286</v>
      </c>
    </row>
    <row r="485" spans="1:3" x14ac:dyDescent="0.3">
      <c r="A485" s="42" t="s">
        <v>37</v>
      </c>
      <c r="B485" s="83">
        <v>6.2648374965860634E-2</v>
      </c>
      <c r="C485" s="113">
        <v>287</v>
      </c>
    </row>
    <row r="486" spans="1:3" x14ac:dyDescent="0.3">
      <c r="A486" s="45" t="s">
        <v>40</v>
      </c>
      <c r="B486" s="84">
        <v>8.5966298051606105E-2</v>
      </c>
      <c r="C486" s="114">
        <v>219</v>
      </c>
    </row>
    <row r="487" spans="1:3" x14ac:dyDescent="0.3">
      <c r="A487" s="42" t="s">
        <v>37</v>
      </c>
      <c r="B487" s="83">
        <v>0.22967524699836073</v>
      </c>
      <c r="C487" s="113">
        <v>197</v>
      </c>
    </row>
    <row r="488" spans="1:3" x14ac:dyDescent="0.3">
      <c r="A488" s="45" t="s">
        <v>40</v>
      </c>
      <c r="B488" s="84">
        <v>0.12920396165457337</v>
      </c>
      <c r="C488" s="114">
        <v>204</v>
      </c>
    </row>
    <row r="489" spans="1:3" x14ac:dyDescent="0.3">
      <c r="A489" s="42"/>
      <c r="B489" s="83">
        <v>9.8222596516111871E-2</v>
      </c>
      <c r="C489" s="113">
        <v>168</v>
      </c>
    </row>
    <row r="490" spans="1:3" x14ac:dyDescent="0.3">
      <c r="A490" s="45" t="s">
        <v>40</v>
      </c>
      <c r="B490" s="84">
        <v>0.11349824183418362</v>
      </c>
      <c r="C490" s="114">
        <v>216</v>
      </c>
    </row>
    <row r="491" spans="1:3" x14ac:dyDescent="0.3">
      <c r="A491" s="45" t="s">
        <v>37</v>
      </c>
      <c r="B491" s="84">
        <v>9.4251731312692155E-2</v>
      </c>
      <c r="C491" s="114">
        <v>241</v>
      </c>
    </row>
    <row r="492" spans="1:3" x14ac:dyDescent="0.3">
      <c r="A492" s="42" t="s">
        <v>40</v>
      </c>
      <c r="B492" s="83">
        <v>0.10173025732031943</v>
      </c>
      <c r="C492" s="113">
        <v>240</v>
      </c>
    </row>
    <row r="493" spans="1:3" x14ac:dyDescent="0.3">
      <c r="A493" s="42" t="s">
        <v>337</v>
      </c>
      <c r="B493" s="83">
        <v>8.9237069349238848E-2</v>
      </c>
      <c r="C493" s="113">
        <v>173</v>
      </c>
    </row>
    <row r="494" spans="1:3" x14ac:dyDescent="0.3">
      <c r="A494" s="42" t="s">
        <v>40</v>
      </c>
      <c r="B494" s="83">
        <v>6.5015829941203071E-2</v>
      </c>
      <c r="C494" s="113">
        <v>232</v>
      </c>
    </row>
    <row r="495" spans="1:3" x14ac:dyDescent="0.3">
      <c r="A495" s="45" t="s">
        <v>37</v>
      </c>
      <c r="B495" s="84">
        <v>5.6436966727204191E-2</v>
      </c>
      <c r="C495" s="114">
        <v>269</v>
      </c>
    </row>
    <row r="496" spans="1:3" x14ac:dyDescent="0.3">
      <c r="A496" s="42" t="s">
        <v>338</v>
      </c>
      <c r="B496" s="83">
        <v>0.10713930842607314</v>
      </c>
      <c r="C496" s="113">
        <v>213</v>
      </c>
    </row>
    <row r="497" spans="1:3" x14ac:dyDescent="0.3">
      <c r="A497" s="45" t="s">
        <v>37</v>
      </c>
      <c r="B497" s="84">
        <v>5.1833640647408315E-2</v>
      </c>
      <c r="C497" s="114">
        <v>272</v>
      </c>
    </row>
    <row r="498" spans="1:3" x14ac:dyDescent="0.3">
      <c r="A498" s="45" t="s">
        <v>338</v>
      </c>
      <c r="B498" s="84">
        <v>3.5821698002251455E-2</v>
      </c>
      <c r="C498" s="114">
        <v>239</v>
      </c>
    </row>
    <row r="499" spans="1:3" x14ac:dyDescent="0.3">
      <c r="A499" s="42" t="s">
        <v>37</v>
      </c>
      <c r="B499" s="83">
        <v>3.5034029141734799E-2</v>
      </c>
      <c r="C499" s="113">
        <v>222</v>
      </c>
    </row>
    <row r="500" spans="1:3" x14ac:dyDescent="0.3">
      <c r="A500" s="42" t="s">
        <v>37</v>
      </c>
      <c r="B500" s="83">
        <v>0.13946227759085811</v>
      </c>
      <c r="C500" s="113">
        <v>276</v>
      </c>
    </row>
    <row r="501" spans="1:3" x14ac:dyDescent="0.3">
      <c r="A501" s="42"/>
      <c r="B501" s="83">
        <v>4.5247823769763724E-2</v>
      </c>
      <c r="C501" s="113">
        <v>196</v>
      </c>
    </row>
    <row r="502" spans="1:3" x14ac:dyDescent="0.3">
      <c r="A502" s="45" t="s">
        <v>37</v>
      </c>
      <c r="B502" s="84">
        <v>6.2974139146620034E-2</v>
      </c>
      <c r="C502" s="114">
        <v>114</v>
      </c>
    </row>
    <row r="503" spans="1:3" x14ac:dyDescent="0.3">
      <c r="A503" s="45" t="s">
        <v>37</v>
      </c>
      <c r="B503" s="84">
        <v>0.10784235029699792</v>
      </c>
      <c r="C503" s="114">
        <v>157</v>
      </c>
    </row>
    <row r="504" spans="1:3" x14ac:dyDescent="0.3">
      <c r="A504" s="42"/>
      <c r="B504" s="83">
        <v>8.2690258629040073E-2</v>
      </c>
      <c r="C504" s="113">
        <v>111</v>
      </c>
    </row>
    <row r="505" spans="1:3" x14ac:dyDescent="0.3">
      <c r="A505" s="42"/>
      <c r="B505" s="83">
        <v>9.7836889180216949E-2</v>
      </c>
      <c r="C505" s="113">
        <v>232</v>
      </c>
    </row>
    <row r="506" spans="1:3" x14ac:dyDescent="0.3">
      <c r="A506" s="45"/>
      <c r="B506" s="84">
        <v>7.7428927315357568E-2</v>
      </c>
      <c r="C506" s="114">
        <v>117</v>
      </c>
    </row>
    <row r="507" spans="1:3" x14ac:dyDescent="0.3">
      <c r="A507" s="45" t="s">
        <v>337</v>
      </c>
      <c r="B507" s="84">
        <v>7.9782521843353188E-2</v>
      </c>
      <c r="C507" s="114">
        <v>222</v>
      </c>
    </row>
    <row r="508" spans="1:3" x14ac:dyDescent="0.3">
      <c r="A508" s="45" t="s">
        <v>37</v>
      </c>
      <c r="B508" s="84">
        <v>7.1022341272152026E-2</v>
      </c>
      <c r="C508" s="114">
        <v>155</v>
      </c>
    </row>
    <row r="509" spans="1:3" x14ac:dyDescent="0.3">
      <c r="A509" s="42"/>
      <c r="B509" s="83">
        <v>3.9319108127547353E-2</v>
      </c>
      <c r="C509" s="113">
        <v>239</v>
      </c>
    </row>
    <row r="510" spans="1:3" x14ac:dyDescent="0.3">
      <c r="A510" s="42" t="s">
        <v>337</v>
      </c>
      <c r="B510" s="83">
        <v>7.7181741758116915E-2</v>
      </c>
      <c r="C510" s="113">
        <v>118</v>
      </c>
    </row>
    <row r="511" spans="1:3" x14ac:dyDescent="0.3">
      <c r="A511" s="42" t="s">
        <v>37</v>
      </c>
      <c r="B511" s="83">
        <v>3.4110398272247981E-2</v>
      </c>
      <c r="C511" s="113">
        <v>275</v>
      </c>
    </row>
    <row r="512" spans="1:3" x14ac:dyDescent="0.3">
      <c r="A512" s="45" t="s">
        <v>337</v>
      </c>
      <c r="B512" s="84">
        <v>3.1623578076525334E-2</v>
      </c>
      <c r="C512" s="114">
        <v>232</v>
      </c>
    </row>
    <row r="513" spans="1:3" x14ac:dyDescent="0.3">
      <c r="A513" s="42" t="s">
        <v>337</v>
      </c>
      <c r="B513" s="83">
        <v>4.0153279184466734E-2</v>
      </c>
      <c r="C513" s="113">
        <v>296</v>
      </c>
    </row>
    <row r="514" spans="1:3" x14ac:dyDescent="0.3">
      <c r="A514" s="45"/>
      <c r="B514" s="84">
        <v>0.17995832544042431</v>
      </c>
      <c r="C514" s="114">
        <v>147</v>
      </c>
    </row>
    <row r="515" spans="1:3" x14ac:dyDescent="0.3">
      <c r="A515" s="45"/>
      <c r="B515" s="84">
        <v>0.12555218709398008</v>
      </c>
      <c r="C515" s="114">
        <v>293</v>
      </c>
    </row>
    <row r="516" spans="1:3" x14ac:dyDescent="0.3">
      <c r="A516" s="45" t="s">
        <v>338</v>
      </c>
      <c r="B516" s="84">
        <v>8.2744836775483013E-2</v>
      </c>
      <c r="C516" s="114">
        <v>186</v>
      </c>
    </row>
    <row r="517" spans="1:3" x14ac:dyDescent="0.3">
      <c r="A517" s="45"/>
      <c r="B517" s="84">
        <v>5.2041730205988429E-2</v>
      </c>
      <c r="C517" s="114">
        <v>174</v>
      </c>
    </row>
    <row r="518" spans="1:3" x14ac:dyDescent="0.3">
      <c r="A518" s="45" t="s">
        <v>37</v>
      </c>
      <c r="B518" s="84">
        <v>9.4450189589796618E-2</v>
      </c>
      <c r="C518" s="114">
        <v>133</v>
      </c>
    </row>
    <row r="519" spans="1:3" x14ac:dyDescent="0.3">
      <c r="A519" s="42" t="s">
        <v>337</v>
      </c>
      <c r="B519" s="83">
        <v>0.12409349336702463</v>
      </c>
      <c r="C519" s="113">
        <v>265</v>
      </c>
    </row>
    <row r="520" spans="1:3" x14ac:dyDescent="0.3">
      <c r="A520" s="45"/>
      <c r="B520" s="84">
        <v>4.5610431884675749E-2</v>
      </c>
      <c r="C520" s="114">
        <v>176</v>
      </c>
    </row>
    <row r="521" spans="1:3" x14ac:dyDescent="0.3">
      <c r="A521" s="42" t="s">
        <v>338</v>
      </c>
      <c r="B521" s="83">
        <v>8.0371103929948923E-2</v>
      </c>
      <c r="C521" s="113">
        <v>255</v>
      </c>
    </row>
    <row r="522" spans="1:3" x14ac:dyDescent="0.3">
      <c r="A522" s="42" t="s">
        <v>37</v>
      </c>
      <c r="B522" s="83">
        <v>0.1271002400274317</v>
      </c>
      <c r="C522" s="113">
        <v>282</v>
      </c>
    </row>
    <row r="523" spans="1:3" x14ac:dyDescent="0.3">
      <c r="A523" s="45"/>
      <c r="B523" s="84">
        <v>8.6602037169406718E-2</v>
      </c>
      <c r="C523" s="114">
        <v>178</v>
      </c>
    </row>
    <row r="524" spans="1:3" x14ac:dyDescent="0.3">
      <c r="A524" s="42"/>
      <c r="B524" s="83">
        <v>2.9336922849977874E-2</v>
      </c>
      <c r="C524" s="113">
        <v>271</v>
      </c>
    </row>
    <row r="525" spans="1:3" x14ac:dyDescent="0.3">
      <c r="A525" s="45"/>
      <c r="B525" s="84">
        <v>0.11126822801590809</v>
      </c>
      <c r="C525" s="114">
        <v>103</v>
      </c>
    </row>
    <row r="526" spans="1:3" x14ac:dyDescent="0.3">
      <c r="A526" s="45" t="s">
        <v>338</v>
      </c>
      <c r="B526" s="84">
        <v>5.2566815966924252E-2</v>
      </c>
      <c r="C526" s="114">
        <v>197</v>
      </c>
    </row>
    <row r="527" spans="1:3" x14ac:dyDescent="0.3">
      <c r="A527" s="42" t="s">
        <v>37</v>
      </c>
      <c r="B527" s="83">
        <v>5.2513742764570971E-2</v>
      </c>
      <c r="C527" s="113">
        <v>265</v>
      </c>
    </row>
    <row r="528" spans="1:3" x14ac:dyDescent="0.3">
      <c r="A528" s="45" t="s">
        <v>338</v>
      </c>
      <c r="B528" s="84">
        <v>0.12406981463942633</v>
      </c>
      <c r="C528" s="114">
        <v>294</v>
      </c>
    </row>
    <row r="529" spans="1:3" x14ac:dyDescent="0.3">
      <c r="A529" s="42" t="s">
        <v>40</v>
      </c>
      <c r="B529" s="83">
        <v>3.1839004091338254E-2</v>
      </c>
      <c r="C529" s="113">
        <v>101</v>
      </c>
    </row>
    <row r="530" spans="1:3" x14ac:dyDescent="0.3">
      <c r="A530" s="45" t="s">
        <v>338</v>
      </c>
      <c r="B530" s="84">
        <v>9.191926295801392E-2</v>
      </c>
      <c r="C530" s="114">
        <v>257</v>
      </c>
    </row>
    <row r="531" spans="1:3" x14ac:dyDescent="0.3">
      <c r="A531" s="42" t="s">
        <v>338</v>
      </c>
      <c r="B531" s="83">
        <v>4.9646286003031836E-2</v>
      </c>
      <c r="C531" s="113">
        <v>246</v>
      </c>
    </row>
    <row r="532" spans="1:3" x14ac:dyDescent="0.3">
      <c r="A532" s="42" t="s">
        <v>37</v>
      </c>
      <c r="B532" s="83">
        <v>6.76784936509532E-2</v>
      </c>
      <c r="C532" s="113">
        <v>213</v>
      </c>
    </row>
    <row r="533" spans="1:3" x14ac:dyDescent="0.3">
      <c r="A533" s="45" t="s">
        <v>338</v>
      </c>
      <c r="B533" s="84">
        <v>0.10985069273191947</v>
      </c>
      <c r="C533" s="114">
        <v>290</v>
      </c>
    </row>
    <row r="534" spans="1:3" x14ac:dyDescent="0.3">
      <c r="A534" s="42"/>
      <c r="B534" s="83">
        <v>8.0741841282852611E-2</v>
      </c>
      <c r="C534" s="113">
        <v>277</v>
      </c>
    </row>
    <row r="535" spans="1:3" x14ac:dyDescent="0.3">
      <c r="A535" s="45"/>
      <c r="B535" s="84">
        <v>0.16790703227603773</v>
      </c>
      <c r="C535" s="114">
        <v>263</v>
      </c>
    </row>
    <row r="536" spans="1:3" x14ac:dyDescent="0.3">
      <c r="A536" s="45" t="s">
        <v>338</v>
      </c>
      <c r="B536" s="84">
        <v>6.4655069273288512E-2</v>
      </c>
      <c r="C536" s="114">
        <v>172</v>
      </c>
    </row>
    <row r="537" spans="1:3" x14ac:dyDescent="0.3">
      <c r="A537" s="45"/>
      <c r="B537" s="84">
        <v>8.1666436749896543E-2</v>
      </c>
      <c r="C537" s="114">
        <v>145</v>
      </c>
    </row>
    <row r="538" spans="1:3" x14ac:dyDescent="0.3">
      <c r="A538" s="42" t="s">
        <v>338</v>
      </c>
      <c r="B538" s="83">
        <v>0.13077197816215114</v>
      </c>
      <c r="C538" s="113">
        <v>297</v>
      </c>
    </row>
    <row r="539" spans="1:3" x14ac:dyDescent="0.3">
      <c r="A539" s="45" t="s">
        <v>37</v>
      </c>
      <c r="B539" s="84">
        <v>5.3094209744904843E-2</v>
      </c>
      <c r="C539" s="114">
        <v>214</v>
      </c>
    </row>
    <row r="540" spans="1:3" x14ac:dyDescent="0.3">
      <c r="A540" s="42" t="s">
        <v>37</v>
      </c>
      <c r="B540" s="83">
        <v>0.17088145896656534</v>
      </c>
      <c r="C540" s="113">
        <v>160</v>
      </c>
    </row>
    <row r="541" spans="1:3" x14ac:dyDescent="0.3">
      <c r="A541" s="42" t="s">
        <v>338</v>
      </c>
      <c r="B541" s="83">
        <v>0.10547128720437092</v>
      </c>
      <c r="C541" s="113">
        <v>277</v>
      </c>
    </row>
    <row r="542" spans="1:3" x14ac:dyDescent="0.3">
      <c r="A542" s="45"/>
      <c r="B542" s="84">
        <v>4.819683813738912E-2</v>
      </c>
      <c r="C542" s="114">
        <v>104</v>
      </c>
    </row>
    <row r="543" spans="1:3" x14ac:dyDescent="0.3">
      <c r="A543" s="45" t="s">
        <v>337</v>
      </c>
      <c r="B543" s="84">
        <v>0.13404136389044158</v>
      </c>
      <c r="C543" s="114">
        <v>133</v>
      </c>
    </row>
    <row r="544" spans="1:3" x14ac:dyDescent="0.3">
      <c r="A544" s="45" t="s">
        <v>337</v>
      </c>
      <c r="B544" s="84">
        <v>9.8193807339449546E-2</v>
      </c>
      <c r="C544" s="114">
        <v>255</v>
      </c>
    </row>
    <row r="545" spans="1:3" x14ac:dyDescent="0.3">
      <c r="A545" s="45" t="s">
        <v>338</v>
      </c>
      <c r="B545" s="84">
        <v>8.6517714206166912E-2</v>
      </c>
      <c r="C545" s="114">
        <v>159</v>
      </c>
    </row>
    <row r="546" spans="1:3" x14ac:dyDescent="0.3">
      <c r="A546" s="45" t="s">
        <v>37</v>
      </c>
      <c r="B546" s="84">
        <v>9.2712236723090841E-2</v>
      </c>
      <c r="C546" s="114">
        <v>104</v>
      </c>
    </row>
    <row r="547" spans="1:3" x14ac:dyDescent="0.3">
      <c r="A547" s="45" t="s">
        <v>37</v>
      </c>
      <c r="B547" s="84">
        <v>0.16477245248343569</v>
      </c>
      <c r="C547" s="114">
        <v>130</v>
      </c>
    </row>
    <row r="548" spans="1:3" x14ac:dyDescent="0.3">
      <c r="A548" s="42" t="s">
        <v>337</v>
      </c>
      <c r="B548" s="83">
        <v>7.1354340971940891E-2</v>
      </c>
      <c r="C548" s="113">
        <v>163</v>
      </c>
    </row>
    <row r="549" spans="1:3" x14ac:dyDescent="0.3">
      <c r="A549" s="45" t="s">
        <v>40</v>
      </c>
      <c r="B549" s="84">
        <v>0.19261223173659131</v>
      </c>
      <c r="C549" s="114">
        <v>225</v>
      </c>
    </row>
    <row r="550" spans="1:3" x14ac:dyDescent="0.3">
      <c r="A550" s="42"/>
      <c r="B550" s="83">
        <v>0.14674444862627023</v>
      </c>
      <c r="C550" s="113">
        <v>96</v>
      </c>
    </row>
    <row r="551" spans="1:3" x14ac:dyDescent="0.3">
      <c r="A551" s="42"/>
      <c r="B551" s="83">
        <v>0.17799483100057059</v>
      </c>
      <c r="C551" s="113">
        <v>145</v>
      </c>
    </row>
    <row r="552" spans="1:3" x14ac:dyDescent="0.3">
      <c r="A552" s="42"/>
      <c r="B552" s="83">
        <v>4.4258807658382193E-2</v>
      </c>
      <c r="C552" s="113">
        <v>262</v>
      </c>
    </row>
    <row r="553" spans="1:3" x14ac:dyDescent="0.3">
      <c r="A553" s="45" t="s">
        <v>338</v>
      </c>
      <c r="B553" s="84">
        <v>0.10762898272970794</v>
      </c>
      <c r="C553" s="114">
        <v>248</v>
      </c>
    </row>
    <row r="554" spans="1:3" x14ac:dyDescent="0.3">
      <c r="A554" s="45" t="s">
        <v>338</v>
      </c>
      <c r="B554" s="84">
        <v>5.0121212121212122E-2</v>
      </c>
      <c r="C554" s="114">
        <v>160</v>
      </c>
    </row>
    <row r="555" spans="1:3" x14ac:dyDescent="0.3">
      <c r="A555" s="45"/>
      <c r="B555" s="84">
        <v>0.15451192239551567</v>
      </c>
      <c r="C555" s="114">
        <v>262</v>
      </c>
    </row>
    <row r="556" spans="1:3" x14ac:dyDescent="0.3">
      <c r="A556" s="45" t="s">
        <v>337</v>
      </c>
      <c r="B556" s="84">
        <v>5.7503193495407452E-2</v>
      </c>
      <c r="C556" s="114">
        <v>90</v>
      </c>
    </row>
    <row r="557" spans="1:3" x14ac:dyDescent="0.3">
      <c r="A557" s="45" t="s">
        <v>37</v>
      </c>
      <c r="B557" s="84">
        <v>5.2312660271630736E-2</v>
      </c>
      <c r="C557" s="114">
        <v>146</v>
      </c>
    </row>
    <row r="558" spans="1:3" x14ac:dyDescent="0.3">
      <c r="A558" s="42" t="s">
        <v>337</v>
      </c>
      <c r="B558" s="83">
        <v>8.5608773500447627E-2</v>
      </c>
      <c r="C558" s="113">
        <v>272</v>
      </c>
    </row>
    <row r="559" spans="1:3" x14ac:dyDescent="0.3">
      <c r="A559" s="45" t="s">
        <v>40</v>
      </c>
      <c r="B559" s="84">
        <v>3.3729709324273313E-2</v>
      </c>
      <c r="C559" s="114">
        <v>286</v>
      </c>
    </row>
    <row r="560" spans="1:3" x14ac:dyDescent="0.3">
      <c r="A560" s="45" t="s">
        <v>37</v>
      </c>
      <c r="B560" s="84">
        <v>7.5077784691972627E-2</v>
      </c>
      <c r="C560" s="114">
        <v>138</v>
      </c>
    </row>
    <row r="561" spans="1:3" x14ac:dyDescent="0.3">
      <c r="A561" s="42" t="s">
        <v>37</v>
      </c>
      <c r="B561" s="83">
        <v>8.3423643616408028E-2</v>
      </c>
      <c r="C561" s="113">
        <v>128</v>
      </c>
    </row>
    <row r="562" spans="1:3" x14ac:dyDescent="0.3">
      <c r="A562" s="45"/>
      <c r="B562" s="84">
        <v>6.8477000386548123E-2</v>
      </c>
      <c r="C562" s="114">
        <v>190</v>
      </c>
    </row>
    <row r="563" spans="1:3" x14ac:dyDescent="0.3">
      <c r="A563" s="42" t="s">
        <v>37</v>
      </c>
      <c r="B563" s="83">
        <v>0.12190780876853062</v>
      </c>
      <c r="C563" s="113">
        <v>174</v>
      </c>
    </row>
    <row r="564" spans="1:3" x14ac:dyDescent="0.3">
      <c r="A564" s="45" t="s">
        <v>338</v>
      </c>
      <c r="B564" s="84">
        <v>5.4473577117609438E-2</v>
      </c>
      <c r="C564" s="114">
        <v>173</v>
      </c>
    </row>
    <row r="565" spans="1:3" x14ac:dyDescent="0.3">
      <c r="A565" s="45" t="s">
        <v>40</v>
      </c>
      <c r="B565" s="84">
        <v>5.4859907104176028E-2</v>
      </c>
      <c r="C565" s="114">
        <v>185</v>
      </c>
    </row>
    <row r="566" spans="1:3" x14ac:dyDescent="0.3">
      <c r="A566" s="42" t="s">
        <v>337</v>
      </c>
      <c r="B566" s="83">
        <v>9.0752980172121162E-2</v>
      </c>
      <c r="C566" s="113">
        <v>221</v>
      </c>
    </row>
    <row r="567" spans="1:3" x14ac:dyDescent="0.3">
      <c r="A567" s="45"/>
      <c r="B567" s="84">
        <v>0.11695224773672146</v>
      </c>
      <c r="C567" s="114">
        <v>246</v>
      </c>
    </row>
    <row r="568" spans="1:3" x14ac:dyDescent="0.3">
      <c r="A568" s="42" t="s">
        <v>338</v>
      </c>
      <c r="B568" s="83">
        <v>6.1279893894806647E-2</v>
      </c>
      <c r="C568" s="113">
        <v>111</v>
      </c>
    </row>
    <row r="569" spans="1:3" x14ac:dyDescent="0.3">
      <c r="A569" s="42" t="s">
        <v>40</v>
      </c>
      <c r="B569" s="83">
        <v>7.3202671439172376E-2</v>
      </c>
      <c r="C569" s="113">
        <v>85</v>
      </c>
    </row>
    <row r="570" spans="1:3" x14ac:dyDescent="0.3">
      <c r="A570" s="42" t="s">
        <v>40</v>
      </c>
      <c r="B570" s="83">
        <v>9.2893873181347508E-2</v>
      </c>
      <c r="C570" s="113">
        <v>205</v>
      </c>
    </row>
    <row r="571" spans="1:3" x14ac:dyDescent="0.3">
      <c r="A571" s="42" t="s">
        <v>337</v>
      </c>
      <c r="B571" s="83">
        <v>3.3603177027646251E-2</v>
      </c>
      <c r="C571" s="113">
        <v>265</v>
      </c>
    </row>
    <row r="572" spans="1:3" x14ac:dyDescent="0.3">
      <c r="A572" s="42" t="s">
        <v>337</v>
      </c>
      <c r="B572" s="83">
        <v>0.14843585975225698</v>
      </c>
      <c r="C572" s="113">
        <v>210</v>
      </c>
    </row>
    <row r="573" spans="1:3" x14ac:dyDescent="0.3">
      <c r="A573" s="42"/>
      <c r="B573" s="83">
        <v>5.1861351697967357E-2</v>
      </c>
      <c r="C573" s="113">
        <v>126</v>
      </c>
    </row>
    <row r="574" spans="1:3" x14ac:dyDescent="0.3">
      <c r="A574" s="45"/>
      <c r="B574" s="84">
        <v>6.6160796354604659E-2</v>
      </c>
      <c r="C574" s="114">
        <v>276</v>
      </c>
    </row>
    <row r="575" spans="1:3" x14ac:dyDescent="0.3">
      <c r="A575" s="42"/>
      <c r="B575" s="83">
        <v>5.4638246772740921E-2</v>
      </c>
      <c r="C575" s="113">
        <v>195</v>
      </c>
    </row>
    <row r="576" spans="1:3" x14ac:dyDescent="0.3">
      <c r="A576" s="42"/>
      <c r="B576" s="83">
        <v>9.4139757389372969E-2</v>
      </c>
      <c r="C576" s="113">
        <v>234</v>
      </c>
    </row>
    <row r="577" spans="1:3" x14ac:dyDescent="0.3">
      <c r="A577" s="42"/>
      <c r="B577" s="83">
        <v>5.7682545054573146E-2</v>
      </c>
      <c r="C577" s="113">
        <v>143</v>
      </c>
    </row>
    <row r="578" spans="1:3" x14ac:dyDescent="0.3">
      <c r="A578" s="42"/>
      <c r="B578" s="83">
        <v>8.3972409065592737E-2</v>
      </c>
      <c r="C578" s="113">
        <v>184</v>
      </c>
    </row>
    <row r="579" spans="1:3" x14ac:dyDescent="0.3">
      <c r="A579" s="42" t="s">
        <v>37</v>
      </c>
      <c r="B579" s="83">
        <v>6.6186514342481059E-2</v>
      </c>
      <c r="C579" s="113">
        <v>163</v>
      </c>
    </row>
    <row r="580" spans="1:3" x14ac:dyDescent="0.3">
      <c r="A580" s="45" t="s">
        <v>37</v>
      </c>
      <c r="B580" s="84">
        <v>0.20445859872611466</v>
      </c>
      <c r="C580" s="114">
        <v>212</v>
      </c>
    </row>
    <row r="581" spans="1:3" x14ac:dyDescent="0.3">
      <c r="A581" s="42" t="s">
        <v>337</v>
      </c>
      <c r="B581" s="83">
        <v>0.1122776514644911</v>
      </c>
      <c r="C581" s="113">
        <v>184</v>
      </c>
    </row>
    <row r="582" spans="1:3" x14ac:dyDescent="0.3">
      <c r="A582" s="45" t="s">
        <v>37</v>
      </c>
      <c r="B582" s="84">
        <v>9.8640235621946709E-2</v>
      </c>
      <c r="C582" s="114">
        <v>291</v>
      </c>
    </row>
    <row r="583" spans="1:3" x14ac:dyDescent="0.3">
      <c r="A583" s="42" t="s">
        <v>37</v>
      </c>
      <c r="B583" s="83">
        <v>5.4576862557296296E-2</v>
      </c>
      <c r="C583" s="113">
        <v>163</v>
      </c>
    </row>
    <row r="584" spans="1:3" x14ac:dyDescent="0.3">
      <c r="A584" s="42"/>
      <c r="B584" s="83">
        <v>8.628318584070796E-2</v>
      </c>
      <c r="C584" s="113">
        <v>295</v>
      </c>
    </row>
    <row r="585" spans="1:3" x14ac:dyDescent="0.3">
      <c r="A585" s="45"/>
      <c r="B585" s="84">
        <v>8.4056399132321047E-2</v>
      </c>
      <c r="C585" s="114">
        <v>111</v>
      </c>
    </row>
    <row r="586" spans="1:3" x14ac:dyDescent="0.3">
      <c r="A586" s="45" t="s">
        <v>338</v>
      </c>
      <c r="B586" s="84">
        <v>3.4229485151994379E-2</v>
      </c>
      <c r="C586" s="114">
        <v>228</v>
      </c>
    </row>
    <row r="587" spans="1:3" x14ac:dyDescent="0.3">
      <c r="A587" s="45"/>
      <c r="B587" s="84">
        <v>0.11467469950680724</v>
      </c>
      <c r="C587" s="114">
        <v>198</v>
      </c>
    </row>
    <row r="588" spans="1:3" x14ac:dyDescent="0.3">
      <c r="A588" s="45" t="s">
        <v>338</v>
      </c>
      <c r="B588" s="84">
        <v>8.4548582664263475E-2</v>
      </c>
      <c r="C588" s="114">
        <v>156</v>
      </c>
    </row>
    <row r="589" spans="1:3" x14ac:dyDescent="0.3">
      <c r="A589" s="45" t="s">
        <v>337</v>
      </c>
      <c r="B589" s="84">
        <v>0.10546200140489435</v>
      </c>
      <c r="C589" s="114">
        <v>114</v>
      </c>
    </row>
    <row r="590" spans="1:3" x14ac:dyDescent="0.3">
      <c r="A590" s="45"/>
      <c r="B590" s="84">
        <v>0.10338095327488783</v>
      </c>
      <c r="C590" s="114">
        <v>269</v>
      </c>
    </row>
    <row r="591" spans="1:3" x14ac:dyDescent="0.3">
      <c r="A591" s="42"/>
      <c r="B591" s="83">
        <v>0.1565595352530614</v>
      </c>
      <c r="C591" s="113">
        <v>155</v>
      </c>
    </row>
    <row r="592" spans="1:3" x14ac:dyDescent="0.3">
      <c r="A592" s="42" t="s">
        <v>37</v>
      </c>
      <c r="B592" s="83">
        <v>5.8052595393606049E-2</v>
      </c>
      <c r="C592" s="113">
        <v>178</v>
      </c>
    </row>
    <row r="593" spans="1:3" x14ac:dyDescent="0.3">
      <c r="A593" s="42" t="s">
        <v>37</v>
      </c>
      <c r="B593" s="83">
        <v>0.12976726726726726</v>
      </c>
      <c r="C593" s="113">
        <v>112</v>
      </c>
    </row>
    <row r="594" spans="1:3" x14ac:dyDescent="0.3">
      <c r="A594" s="45" t="s">
        <v>40</v>
      </c>
      <c r="B594" s="84">
        <v>4.4999031758326875E-2</v>
      </c>
      <c r="C594" s="114">
        <v>106</v>
      </c>
    </row>
    <row r="595" spans="1:3" x14ac:dyDescent="0.3">
      <c r="A595" s="45"/>
      <c r="B595" s="84">
        <v>3.221173574066475E-2</v>
      </c>
      <c r="C595" s="114">
        <v>147</v>
      </c>
    </row>
    <row r="596" spans="1:3" x14ac:dyDescent="0.3">
      <c r="A596" s="45"/>
      <c r="B596" s="84">
        <v>0.1109777812185492</v>
      </c>
      <c r="C596" s="114">
        <v>165</v>
      </c>
    </row>
    <row r="597" spans="1:3" x14ac:dyDescent="0.3">
      <c r="A597" s="42" t="s">
        <v>37</v>
      </c>
      <c r="B597" s="83">
        <v>0.1191007493755204</v>
      </c>
      <c r="C597" s="113">
        <v>165</v>
      </c>
    </row>
    <row r="598" spans="1:3" x14ac:dyDescent="0.3">
      <c r="A598" s="45"/>
      <c r="B598" s="84">
        <v>5.9775576027966085E-2</v>
      </c>
      <c r="C598" s="114">
        <v>160</v>
      </c>
    </row>
    <row r="599" spans="1:3" x14ac:dyDescent="0.3">
      <c r="A599" s="42"/>
      <c r="B599" s="83">
        <v>6.1064362065044349E-2</v>
      </c>
      <c r="C599" s="113">
        <v>83</v>
      </c>
    </row>
    <row r="600" spans="1:3" x14ac:dyDescent="0.3">
      <c r="A600" s="42" t="s">
        <v>337</v>
      </c>
      <c r="B600" s="83">
        <v>5.5797564422760453E-2</v>
      </c>
      <c r="C600" s="113">
        <v>240</v>
      </c>
    </row>
    <row r="601" spans="1:3" x14ac:dyDescent="0.3">
      <c r="A601" s="51" t="s">
        <v>37</v>
      </c>
      <c r="B601" s="85">
        <v>9.4300914496331587E-2</v>
      </c>
      <c r="C601" s="115">
        <v>270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966B5-2A32-4E55-86CE-F8DAA4506EB8}">
  <sheetPr codeName="Sheet2"/>
  <dimension ref="A1:P79"/>
  <sheetViews>
    <sheetView topLeftCell="A71" workbookViewId="0">
      <selection activeCell="A74" sqref="A74:C74"/>
    </sheetView>
  </sheetViews>
  <sheetFormatPr defaultRowHeight="14.4" x14ac:dyDescent="0.3"/>
  <cols>
    <col min="1" max="1" width="22.77734375" bestFit="1" customWidth="1"/>
    <col min="2" max="2" width="15.109375" bestFit="1" customWidth="1"/>
    <col min="3" max="3" width="12.6640625" bestFit="1" customWidth="1"/>
    <col min="4" max="4" width="16.21875" bestFit="1" customWidth="1"/>
    <col min="5" max="5" width="36.5546875" bestFit="1" customWidth="1"/>
    <col min="6" max="6" width="18.21875" customWidth="1"/>
    <col min="7" max="7" width="16.21875" bestFit="1" customWidth="1"/>
    <col min="8" max="8" width="11.33203125" bestFit="1" customWidth="1"/>
    <col min="9" max="9" width="12.6640625" bestFit="1" customWidth="1"/>
    <col min="10" max="10" width="16.21875" bestFit="1" customWidth="1"/>
    <col min="11" max="11" width="15.88671875" bestFit="1" customWidth="1"/>
    <col min="12" max="12" width="17.33203125" bestFit="1" customWidth="1"/>
    <col min="13" max="13" width="20.77734375" bestFit="1" customWidth="1"/>
    <col min="14" max="15" width="17.109375" customWidth="1"/>
  </cols>
  <sheetData>
    <row r="1" spans="1:16" ht="18" x14ac:dyDescent="0.35">
      <c r="A1" s="130" t="s">
        <v>391</v>
      </c>
      <c r="B1" s="130"/>
      <c r="C1" s="130"/>
      <c r="D1" s="130"/>
      <c r="E1" s="130"/>
      <c r="F1" s="130"/>
      <c r="G1" s="130"/>
      <c r="H1" s="130"/>
      <c r="I1" s="130"/>
      <c r="J1" s="130"/>
      <c r="K1" s="130"/>
      <c r="L1" s="130"/>
      <c r="M1" s="130"/>
      <c r="N1" s="130"/>
      <c r="O1" s="130"/>
    </row>
    <row r="2" spans="1:16" x14ac:dyDescent="0.3">
      <c r="A2" s="65" t="s">
        <v>0</v>
      </c>
      <c r="B2" s="66" t="s">
        <v>1</v>
      </c>
      <c r="C2" s="67" t="s">
        <v>2</v>
      </c>
      <c r="D2" s="66" t="s">
        <v>3</v>
      </c>
      <c r="E2" s="66" t="s">
        <v>4</v>
      </c>
      <c r="F2" s="68" t="s">
        <v>5</v>
      </c>
      <c r="G2" s="68" t="s">
        <v>6</v>
      </c>
      <c r="H2" s="68" t="s">
        <v>7</v>
      </c>
      <c r="I2" s="68" t="s">
        <v>8</v>
      </c>
      <c r="J2" s="68" t="s">
        <v>9</v>
      </c>
      <c r="K2" s="68" t="s">
        <v>10</v>
      </c>
      <c r="L2" s="66" t="s">
        <v>335</v>
      </c>
      <c r="M2" s="66" t="s">
        <v>336</v>
      </c>
      <c r="N2" s="66" t="s">
        <v>11</v>
      </c>
      <c r="O2" s="69" t="s">
        <v>345</v>
      </c>
      <c r="P2" s="6"/>
    </row>
    <row r="3" spans="1:16" x14ac:dyDescent="0.3">
      <c r="A3" s="70" t="s">
        <v>32</v>
      </c>
      <c r="B3" s="71" t="s">
        <v>22</v>
      </c>
      <c r="C3" s="72">
        <v>45645</v>
      </c>
      <c r="D3" s="71" t="s">
        <v>23</v>
      </c>
      <c r="E3" s="71" t="s">
        <v>33</v>
      </c>
      <c r="F3" s="73">
        <v>4674</v>
      </c>
      <c r="G3" s="73">
        <v>409</v>
      </c>
      <c r="H3" s="73">
        <v>327</v>
      </c>
      <c r="I3" s="73">
        <v>20756</v>
      </c>
      <c r="J3" s="73">
        <v>63599</v>
      </c>
      <c r="K3" s="73">
        <v>212</v>
      </c>
      <c r="L3" s="71" t="s">
        <v>40</v>
      </c>
      <c r="M3" s="71" t="s">
        <v>37</v>
      </c>
      <c r="N3" s="71" t="s">
        <v>16</v>
      </c>
      <c r="O3" s="86">
        <v>0.26064752360763199</v>
      </c>
      <c r="P3" s="5"/>
    </row>
    <row r="4" spans="1:16" x14ac:dyDescent="0.3">
      <c r="A4" s="74" t="s">
        <v>140</v>
      </c>
      <c r="B4" s="75" t="s">
        <v>22</v>
      </c>
      <c r="C4" s="76">
        <v>45677</v>
      </c>
      <c r="D4" s="75" t="s">
        <v>23</v>
      </c>
      <c r="E4" s="75" t="s">
        <v>24</v>
      </c>
      <c r="F4" s="77">
        <v>4619</v>
      </c>
      <c r="G4" s="77">
        <v>272</v>
      </c>
      <c r="H4" s="77">
        <v>57</v>
      </c>
      <c r="I4" s="77">
        <v>21334</v>
      </c>
      <c r="J4" s="77">
        <v>46292</v>
      </c>
      <c r="K4" s="77">
        <v>91</v>
      </c>
      <c r="L4" s="75" t="s">
        <v>40</v>
      </c>
      <c r="M4" s="75" t="s">
        <v>37</v>
      </c>
      <c r="N4" s="75" t="s">
        <v>16</v>
      </c>
      <c r="O4" s="87">
        <v>0.23193025217961938</v>
      </c>
      <c r="P4" s="5"/>
    </row>
    <row r="5" spans="1:16" x14ac:dyDescent="0.3">
      <c r="A5" s="70" t="s">
        <v>220</v>
      </c>
      <c r="B5" s="71" t="s">
        <v>22</v>
      </c>
      <c r="C5" s="72">
        <v>45459</v>
      </c>
      <c r="D5" s="71" t="s">
        <v>23</v>
      </c>
      <c r="E5" s="71" t="s">
        <v>18</v>
      </c>
      <c r="F5" s="73">
        <v>4618</v>
      </c>
      <c r="G5" s="73">
        <v>312</v>
      </c>
      <c r="H5" s="73">
        <v>254</v>
      </c>
      <c r="I5" s="73">
        <v>22571</v>
      </c>
      <c r="J5" s="73">
        <v>29453</v>
      </c>
      <c r="K5" s="73">
        <v>197</v>
      </c>
      <c r="L5" s="71" t="s">
        <v>337</v>
      </c>
      <c r="M5" s="71" t="s">
        <v>37</v>
      </c>
      <c r="N5" s="71" t="s">
        <v>16</v>
      </c>
      <c r="O5" s="86">
        <v>0.22967524699836073</v>
      </c>
      <c r="P5" s="5"/>
    </row>
    <row r="6" spans="1:16" x14ac:dyDescent="0.3">
      <c r="A6" s="74" t="s">
        <v>313</v>
      </c>
      <c r="B6" s="75" t="s">
        <v>22</v>
      </c>
      <c r="C6" s="76">
        <v>45676</v>
      </c>
      <c r="D6" s="75" t="s">
        <v>23</v>
      </c>
      <c r="E6" s="75" t="s">
        <v>24</v>
      </c>
      <c r="F6" s="77">
        <v>3507</v>
      </c>
      <c r="G6" s="77">
        <v>295</v>
      </c>
      <c r="H6" s="77">
        <v>371</v>
      </c>
      <c r="I6" s="77">
        <v>20410</v>
      </c>
      <c r="J6" s="77">
        <v>53965</v>
      </c>
      <c r="K6" s="77">
        <v>212</v>
      </c>
      <c r="L6" s="75" t="s">
        <v>40</v>
      </c>
      <c r="M6" s="75" t="s">
        <v>37</v>
      </c>
      <c r="N6" s="75" t="s">
        <v>16</v>
      </c>
      <c r="O6" s="87">
        <v>0.20445859872611466</v>
      </c>
      <c r="P6" s="5"/>
    </row>
    <row r="7" spans="1:16" x14ac:dyDescent="0.3">
      <c r="A7" s="70" t="s">
        <v>84</v>
      </c>
      <c r="B7" s="71" t="s">
        <v>22</v>
      </c>
      <c r="C7" s="72">
        <v>45769</v>
      </c>
      <c r="D7" s="71" t="s">
        <v>14</v>
      </c>
      <c r="E7" s="71" t="s">
        <v>15</v>
      </c>
      <c r="F7" s="73">
        <v>4401</v>
      </c>
      <c r="G7" s="73">
        <v>421</v>
      </c>
      <c r="H7" s="73">
        <v>216</v>
      </c>
      <c r="I7" s="73">
        <v>24890</v>
      </c>
      <c r="J7" s="73">
        <v>54361</v>
      </c>
      <c r="K7" s="73">
        <v>148</v>
      </c>
      <c r="L7" s="71" t="s">
        <v>37</v>
      </c>
      <c r="M7" s="71"/>
      <c r="N7" s="71" t="s">
        <v>16</v>
      </c>
      <c r="O7" s="86">
        <v>0.20241060666934513</v>
      </c>
      <c r="P7" s="5"/>
    </row>
    <row r="8" spans="1:16" x14ac:dyDescent="0.3">
      <c r="A8" s="74" t="s">
        <v>56</v>
      </c>
      <c r="B8" s="75" t="s">
        <v>13</v>
      </c>
      <c r="C8" s="76">
        <v>45823</v>
      </c>
      <c r="D8" s="75" t="s">
        <v>14</v>
      </c>
      <c r="E8" s="75" t="s">
        <v>31</v>
      </c>
      <c r="F8" s="77">
        <v>4896</v>
      </c>
      <c r="G8" s="77">
        <v>466</v>
      </c>
      <c r="H8" s="77">
        <v>233</v>
      </c>
      <c r="I8" s="77">
        <v>28621</v>
      </c>
      <c r="J8" s="77">
        <v>34270</v>
      </c>
      <c r="K8" s="77">
        <v>84</v>
      </c>
      <c r="L8" s="75" t="s">
        <v>40</v>
      </c>
      <c r="M8" s="75" t="s">
        <v>37</v>
      </c>
      <c r="N8" s="75" t="s">
        <v>16</v>
      </c>
      <c r="O8" s="87">
        <v>0.19548583208133888</v>
      </c>
      <c r="P8" s="5"/>
    </row>
    <row r="9" spans="1:16" x14ac:dyDescent="0.3">
      <c r="A9" s="70" t="s">
        <v>191</v>
      </c>
      <c r="B9" s="71" t="s">
        <v>28</v>
      </c>
      <c r="C9" s="72">
        <v>45718</v>
      </c>
      <c r="D9" s="71" t="s">
        <v>14</v>
      </c>
      <c r="E9" s="71" t="s">
        <v>44</v>
      </c>
      <c r="F9" s="73">
        <v>4425</v>
      </c>
      <c r="G9" s="73">
        <v>185</v>
      </c>
      <c r="H9" s="73">
        <v>162</v>
      </c>
      <c r="I9" s="73">
        <v>24610</v>
      </c>
      <c r="J9" s="73">
        <v>21342</v>
      </c>
      <c r="K9" s="73">
        <v>158</v>
      </c>
      <c r="L9" s="71" t="s">
        <v>19</v>
      </c>
      <c r="M9" s="71" t="s">
        <v>338</v>
      </c>
      <c r="N9" s="71" t="s">
        <v>20</v>
      </c>
      <c r="O9" s="86">
        <v>0.19390491670052823</v>
      </c>
      <c r="P9" s="5"/>
    </row>
    <row r="10" spans="1:16" x14ac:dyDescent="0.3">
      <c r="A10" s="74" t="s">
        <v>282</v>
      </c>
      <c r="B10" s="75" t="s">
        <v>28</v>
      </c>
      <c r="C10" s="76">
        <v>45457</v>
      </c>
      <c r="D10" s="75" t="s">
        <v>52</v>
      </c>
      <c r="E10" s="75" t="s">
        <v>26</v>
      </c>
      <c r="F10" s="77">
        <v>4722</v>
      </c>
      <c r="G10" s="77">
        <v>310</v>
      </c>
      <c r="H10" s="77">
        <v>344</v>
      </c>
      <c r="I10" s="77">
        <v>27911</v>
      </c>
      <c r="J10" s="77">
        <v>19000</v>
      </c>
      <c r="K10" s="77">
        <v>225</v>
      </c>
      <c r="L10" s="75" t="s">
        <v>19</v>
      </c>
      <c r="M10" s="75" t="s">
        <v>40</v>
      </c>
      <c r="N10" s="75" t="s">
        <v>53</v>
      </c>
      <c r="O10" s="87">
        <v>0.19261223173659131</v>
      </c>
      <c r="P10" s="5"/>
    </row>
    <row r="11" spans="1:16" x14ac:dyDescent="0.3">
      <c r="A11" s="70" t="s">
        <v>170</v>
      </c>
      <c r="B11" s="71" t="s">
        <v>22</v>
      </c>
      <c r="C11" s="72">
        <v>45615</v>
      </c>
      <c r="D11" s="71" t="s">
        <v>14</v>
      </c>
      <c r="E11" s="71" t="s">
        <v>36</v>
      </c>
      <c r="F11" s="73">
        <v>3728</v>
      </c>
      <c r="G11" s="73">
        <v>271</v>
      </c>
      <c r="H11" s="73">
        <v>275</v>
      </c>
      <c r="I11" s="73">
        <v>22827</v>
      </c>
      <c r="J11" s="73">
        <v>37034</v>
      </c>
      <c r="K11" s="73">
        <v>199</v>
      </c>
      <c r="L11" s="71" t="s">
        <v>37</v>
      </c>
      <c r="M11" s="71"/>
      <c r="N11" s="71" t="s">
        <v>16</v>
      </c>
      <c r="O11" s="86">
        <v>0.18723441538528934</v>
      </c>
      <c r="P11" s="5"/>
    </row>
    <row r="12" spans="1:16" x14ac:dyDescent="0.3">
      <c r="A12" s="78" t="s">
        <v>102</v>
      </c>
      <c r="B12" s="79" t="s">
        <v>22</v>
      </c>
      <c r="C12" s="80">
        <v>45379</v>
      </c>
      <c r="D12" s="79" t="s">
        <v>14</v>
      </c>
      <c r="E12" s="79" t="s">
        <v>29</v>
      </c>
      <c r="F12" s="81">
        <v>3276</v>
      </c>
      <c r="G12" s="81">
        <v>421</v>
      </c>
      <c r="H12" s="81">
        <v>114</v>
      </c>
      <c r="I12" s="81">
        <v>20580</v>
      </c>
      <c r="J12" s="81">
        <v>30324</v>
      </c>
      <c r="K12" s="81">
        <v>221</v>
      </c>
      <c r="L12" s="79" t="s">
        <v>40</v>
      </c>
      <c r="M12" s="79"/>
      <c r="N12" s="79" t="s">
        <v>20</v>
      </c>
      <c r="O12" s="88">
        <v>0.18517978620019437</v>
      </c>
      <c r="P12" s="5"/>
    </row>
    <row r="20" spans="1:9" ht="15.6" x14ac:dyDescent="0.3">
      <c r="A20" s="132" t="s">
        <v>390</v>
      </c>
      <c r="B20" s="132"/>
      <c r="C20" s="132"/>
      <c r="D20" s="132"/>
    </row>
    <row r="21" spans="1:9" x14ac:dyDescent="0.3">
      <c r="A21" s="60" t="s">
        <v>353</v>
      </c>
      <c r="B21" s="56" t="s">
        <v>347</v>
      </c>
      <c r="C21" s="56" t="s">
        <v>348</v>
      </c>
      <c r="D21" s="56" t="s">
        <v>349</v>
      </c>
    </row>
    <row r="22" spans="1:9" x14ac:dyDescent="0.3">
      <c r="A22" s="61" t="s">
        <v>13</v>
      </c>
      <c r="B22" s="57">
        <v>251473</v>
      </c>
      <c r="C22" s="57">
        <v>29285</v>
      </c>
      <c r="D22" s="57">
        <v>20818</v>
      </c>
    </row>
    <row r="23" spans="1:9" x14ac:dyDescent="0.3">
      <c r="A23" s="111" t="s">
        <v>23</v>
      </c>
      <c r="B23" s="57">
        <v>61815</v>
      </c>
      <c r="C23" s="57">
        <v>7993</v>
      </c>
      <c r="D23" s="57">
        <v>5656</v>
      </c>
    </row>
    <row r="24" spans="1:9" x14ac:dyDescent="0.3">
      <c r="A24" s="111" t="s">
        <v>14</v>
      </c>
      <c r="B24" s="57">
        <v>189658</v>
      </c>
      <c r="C24" s="57">
        <v>21292</v>
      </c>
      <c r="D24" s="57">
        <v>15162</v>
      </c>
    </row>
    <row r="25" spans="1:9" x14ac:dyDescent="0.3">
      <c r="A25" s="61" t="s">
        <v>22</v>
      </c>
      <c r="B25" s="57">
        <v>450295</v>
      </c>
      <c r="C25" s="57">
        <v>45498</v>
      </c>
      <c r="D25" s="57">
        <v>31577</v>
      </c>
    </row>
    <row r="26" spans="1:9" x14ac:dyDescent="0.3">
      <c r="A26" s="111" t="s">
        <v>23</v>
      </c>
      <c r="B26" s="57">
        <v>272103</v>
      </c>
      <c r="C26" s="57">
        <v>26494</v>
      </c>
      <c r="D26" s="57">
        <v>18442</v>
      </c>
      <c r="F26" s="3"/>
    </row>
    <row r="27" spans="1:9" x14ac:dyDescent="0.3">
      <c r="A27" s="111" t="s">
        <v>14</v>
      </c>
      <c r="B27" s="57">
        <v>178192</v>
      </c>
      <c r="C27" s="57">
        <v>19004</v>
      </c>
      <c r="D27" s="57">
        <v>13135</v>
      </c>
    </row>
    <row r="28" spans="1:9" x14ac:dyDescent="0.3">
      <c r="A28" s="61" t="s">
        <v>28</v>
      </c>
      <c r="B28" s="57">
        <v>195407</v>
      </c>
      <c r="C28" s="57">
        <v>18618</v>
      </c>
      <c r="D28" s="57">
        <v>14671</v>
      </c>
    </row>
    <row r="29" spans="1:9" x14ac:dyDescent="0.3">
      <c r="A29" s="111" t="s">
        <v>52</v>
      </c>
      <c r="B29" s="57">
        <v>89871</v>
      </c>
      <c r="C29" s="57">
        <v>9086</v>
      </c>
      <c r="D29" s="57">
        <v>6826</v>
      </c>
    </row>
    <row r="30" spans="1:9" x14ac:dyDescent="0.3">
      <c r="A30" s="111" t="s">
        <v>14</v>
      </c>
      <c r="B30" s="57">
        <v>105536</v>
      </c>
      <c r="C30" s="57">
        <v>9532</v>
      </c>
      <c r="D30" s="57">
        <v>7845</v>
      </c>
    </row>
    <row r="31" spans="1:9" x14ac:dyDescent="0.3">
      <c r="A31" s="61" t="s">
        <v>346</v>
      </c>
      <c r="B31" s="57">
        <v>897175</v>
      </c>
      <c r="C31" s="57">
        <v>93401</v>
      </c>
      <c r="D31" s="57">
        <v>67066</v>
      </c>
    </row>
    <row r="32" spans="1:9" x14ac:dyDescent="0.3">
      <c r="I32" s="9"/>
    </row>
    <row r="48" spans="1:2" ht="18" x14ac:dyDescent="0.35">
      <c r="A48" s="133" t="s">
        <v>360</v>
      </c>
      <c r="B48" s="140"/>
    </row>
    <row r="49" spans="1:2" x14ac:dyDescent="0.3">
      <c r="A49" s="60" t="s">
        <v>354</v>
      </c>
      <c r="B49" s="56" t="s">
        <v>350</v>
      </c>
    </row>
    <row r="50" spans="1:2" x14ac:dyDescent="0.3">
      <c r="A50" s="61" t="s">
        <v>19</v>
      </c>
      <c r="B50" s="57">
        <v>197.16923076923078</v>
      </c>
    </row>
    <row r="51" spans="1:2" x14ac:dyDescent="0.3">
      <c r="A51" s="61" t="s">
        <v>337</v>
      </c>
      <c r="B51" s="57">
        <v>183.47761194029852</v>
      </c>
    </row>
    <row r="52" spans="1:2" x14ac:dyDescent="0.3">
      <c r="A52" s="61" t="s">
        <v>37</v>
      </c>
      <c r="B52" s="57">
        <v>186.72027972027973</v>
      </c>
    </row>
    <row r="53" spans="1:2" x14ac:dyDescent="0.3">
      <c r="A53" s="61" t="s">
        <v>40</v>
      </c>
      <c r="B53" s="57">
        <v>192.45871559633028</v>
      </c>
    </row>
    <row r="54" spans="1:2" x14ac:dyDescent="0.3">
      <c r="A54" s="61" t="s">
        <v>338</v>
      </c>
      <c r="B54" s="57">
        <v>208.47058823529412</v>
      </c>
    </row>
    <row r="55" spans="1:2" x14ac:dyDescent="0.3">
      <c r="A55" s="61" t="s">
        <v>346</v>
      </c>
      <c r="B55" s="57">
        <v>191.9089026915114</v>
      </c>
    </row>
    <row r="72" spans="1:3" ht="18" x14ac:dyDescent="0.35">
      <c r="A72" s="133" t="s">
        <v>361</v>
      </c>
      <c r="B72" s="133"/>
      <c r="C72" s="133"/>
    </row>
    <row r="73" spans="1:3" x14ac:dyDescent="0.3">
      <c r="A73" s="53" t="s">
        <v>354</v>
      </c>
      <c r="B73" s="53" t="s">
        <v>350</v>
      </c>
      <c r="C73" s="53" t="s">
        <v>351</v>
      </c>
    </row>
    <row r="74" spans="1:3" x14ac:dyDescent="0.3">
      <c r="A74" s="54" t="s">
        <v>338</v>
      </c>
      <c r="B74" s="55">
        <v>208.47058823529412</v>
      </c>
      <c r="C74" s="54">
        <f>RANK(B74, $B$74:$B$78)</f>
        <v>1</v>
      </c>
    </row>
    <row r="75" spans="1:3" x14ac:dyDescent="0.3">
      <c r="A75" s="56" t="s">
        <v>19</v>
      </c>
      <c r="B75" s="57">
        <v>197.16923076923078</v>
      </c>
      <c r="C75" s="56">
        <f>RANK(B75, $B$74:$B$78)</f>
        <v>2</v>
      </c>
    </row>
    <row r="76" spans="1:3" x14ac:dyDescent="0.3">
      <c r="A76" s="54" t="s">
        <v>40</v>
      </c>
      <c r="B76" s="55">
        <v>192.45871559633028</v>
      </c>
      <c r="C76" s="54">
        <f>RANK(B76, $B$74:$B$78)</f>
        <v>3</v>
      </c>
    </row>
    <row r="77" spans="1:3" x14ac:dyDescent="0.3">
      <c r="A77" s="56" t="s">
        <v>37</v>
      </c>
      <c r="B77" s="57">
        <v>186.72027972027973</v>
      </c>
      <c r="C77" s="56">
        <f>RANK(B77, $B$74:$B$78)</f>
        <v>4</v>
      </c>
    </row>
    <row r="78" spans="1:3" x14ac:dyDescent="0.3">
      <c r="A78" s="54" t="s">
        <v>337</v>
      </c>
      <c r="B78" s="55">
        <v>183.47761194029852</v>
      </c>
      <c r="C78" s="54">
        <f>RANK(B78, $B$74:$B$78)</f>
        <v>5</v>
      </c>
    </row>
    <row r="79" spans="1:3" x14ac:dyDescent="0.3">
      <c r="A79" s="58" t="s">
        <v>346</v>
      </c>
      <c r="B79" s="59">
        <v>191.9089026915114</v>
      </c>
      <c r="C79" s="56"/>
    </row>
  </sheetData>
  <sortState xmlns:xlrd2="http://schemas.microsoft.com/office/spreadsheetml/2017/richdata2" ref="A74:C78">
    <sortCondition ref="C74:C78"/>
  </sortState>
  <mergeCells count="4">
    <mergeCell ref="A48:B48"/>
    <mergeCell ref="A72:C72"/>
    <mergeCell ref="A20:D20"/>
    <mergeCell ref="A1:O1"/>
  </mergeCells>
  <pageMargins left="0.7" right="0.7" top="0.75" bottom="0.75" header="0.3" footer="0.3"/>
  <pageSetup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15329-EC99-4649-9471-C8C372B60651}">
  <dimension ref="A1:O301"/>
  <sheetViews>
    <sheetView workbookViewId="0">
      <selection activeCell="L16" sqref="L16"/>
    </sheetView>
  </sheetViews>
  <sheetFormatPr defaultRowHeight="14.4" x14ac:dyDescent="0.3"/>
  <cols>
    <col min="1" max="1" width="6.77734375" bestFit="1" customWidth="1"/>
    <col min="2" max="2" width="9" bestFit="1" customWidth="1"/>
    <col min="3" max="3" width="10.33203125" bestFit="1" customWidth="1"/>
    <col min="4" max="4" width="11.77734375" bestFit="1" customWidth="1"/>
    <col min="5" max="5" width="36.5546875" bestFit="1" customWidth="1"/>
    <col min="6" max="6" width="5.33203125" bestFit="1" customWidth="1"/>
    <col min="7" max="7" width="6.6640625" bestFit="1" customWidth="1"/>
    <col min="8" max="8" width="10.109375" bestFit="1" customWidth="1"/>
    <col min="9" max="9" width="11.21875" bestFit="1" customWidth="1"/>
    <col min="10" max="10" width="6.109375" bestFit="1" customWidth="1"/>
    <col min="11" max="11" width="6.21875" bestFit="1" customWidth="1"/>
    <col min="12" max="13" width="16.77734375" bestFit="1" customWidth="1"/>
    <col min="14" max="15" width="15.33203125" bestFit="1" customWidth="1"/>
  </cols>
  <sheetData>
    <row r="1" spans="1:15" x14ac:dyDescent="0.3">
      <c r="A1" s="37" t="s">
        <v>0</v>
      </c>
      <c r="B1" s="38" t="s">
        <v>1</v>
      </c>
      <c r="C1" s="39" t="s">
        <v>2</v>
      </c>
      <c r="D1" s="38" t="s">
        <v>3</v>
      </c>
      <c r="E1" s="38" t="s">
        <v>4</v>
      </c>
      <c r="F1" s="112" t="s">
        <v>5</v>
      </c>
      <c r="G1" s="112" t="s">
        <v>6</v>
      </c>
      <c r="H1" s="112" t="s">
        <v>7</v>
      </c>
      <c r="I1" s="112" t="s">
        <v>8</v>
      </c>
      <c r="J1" s="112" t="s">
        <v>9</v>
      </c>
      <c r="K1" s="112" t="s">
        <v>10</v>
      </c>
      <c r="L1" s="38" t="s">
        <v>335</v>
      </c>
      <c r="M1" s="38" t="s">
        <v>336</v>
      </c>
      <c r="N1" s="38" t="s">
        <v>11</v>
      </c>
      <c r="O1" s="40" t="s">
        <v>345</v>
      </c>
    </row>
    <row r="2" spans="1:15" x14ac:dyDescent="0.3">
      <c r="A2" s="41" t="s">
        <v>12</v>
      </c>
      <c r="B2" s="42" t="s">
        <v>13</v>
      </c>
      <c r="C2" s="43">
        <v>45781</v>
      </c>
      <c r="D2" s="42" t="s">
        <v>14</v>
      </c>
      <c r="E2" s="42" t="s">
        <v>15</v>
      </c>
      <c r="F2" s="113">
        <v>2414</v>
      </c>
      <c r="G2" s="113">
        <v>245</v>
      </c>
      <c r="H2" s="113">
        <v>137</v>
      </c>
      <c r="I2" s="113">
        <v>21181</v>
      </c>
      <c r="J2" s="113">
        <v>45292</v>
      </c>
      <c r="K2" s="113">
        <v>133</v>
      </c>
      <c r="L2" s="42" t="s">
        <v>40</v>
      </c>
      <c r="M2" s="42" t="s">
        <v>37</v>
      </c>
      <c r="N2" s="42" t="s">
        <v>16</v>
      </c>
      <c r="O2" s="83">
        <v>0.13200509890939999</v>
      </c>
    </row>
    <row r="3" spans="1:15" x14ac:dyDescent="0.3">
      <c r="A3" s="41" t="s">
        <v>17</v>
      </c>
      <c r="B3" s="42" t="s">
        <v>13</v>
      </c>
      <c r="C3" s="43">
        <v>45689</v>
      </c>
      <c r="D3" s="42" t="s">
        <v>14</v>
      </c>
      <c r="E3" s="42" t="s">
        <v>18</v>
      </c>
      <c r="F3" s="113">
        <v>1934</v>
      </c>
      <c r="G3" s="113">
        <v>210</v>
      </c>
      <c r="H3" s="113">
        <v>393</v>
      </c>
      <c r="I3" s="113">
        <v>29129</v>
      </c>
      <c r="J3" s="113">
        <v>73287</v>
      </c>
      <c r="K3" s="113">
        <v>273</v>
      </c>
      <c r="L3" s="42" t="s">
        <v>19</v>
      </c>
      <c r="M3" s="42"/>
      <c r="N3" s="42" t="s">
        <v>20</v>
      </c>
      <c r="O3" s="83">
        <v>8.7095334546328396E-2</v>
      </c>
    </row>
    <row r="4" spans="1:15" x14ac:dyDescent="0.3">
      <c r="A4" s="44" t="s">
        <v>21</v>
      </c>
      <c r="B4" s="45" t="s">
        <v>22</v>
      </c>
      <c r="C4" s="46">
        <v>45629</v>
      </c>
      <c r="D4" s="45" t="s">
        <v>23</v>
      </c>
      <c r="E4" s="45" t="s">
        <v>24</v>
      </c>
      <c r="F4" s="114">
        <v>3092</v>
      </c>
      <c r="G4" s="114">
        <v>177</v>
      </c>
      <c r="H4" s="114">
        <v>81</v>
      </c>
      <c r="I4" s="114">
        <v>47533</v>
      </c>
      <c r="J4" s="114">
        <v>29220</v>
      </c>
      <c r="K4" s="114">
        <v>121</v>
      </c>
      <c r="L4" s="45" t="s">
        <v>337</v>
      </c>
      <c r="M4" s="45" t="s">
        <v>37</v>
      </c>
      <c r="N4" s="45" t="s">
        <v>16</v>
      </c>
      <c r="O4" s="84">
        <v>7.0477352576105018E-2</v>
      </c>
    </row>
    <row r="5" spans="1:15" x14ac:dyDescent="0.3">
      <c r="A5" s="44" t="s">
        <v>25</v>
      </c>
      <c r="B5" s="45" t="s">
        <v>13</v>
      </c>
      <c r="C5" s="46">
        <v>45629</v>
      </c>
      <c r="D5" s="45" t="s">
        <v>14</v>
      </c>
      <c r="E5" s="45" t="s">
        <v>26</v>
      </c>
      <c r="F5" s="114">
        <v>3173</v>
      </c>
      <c r="G5" s="114">
        <v>229</v>
      </c>
      <c r="H5" s="114">
        <v>197</v>
      </c>
      <c r="I5" s="114">
        <v>29604</v>
      </c>
      <c r="J5" s="114">
        <v>21809</v>
      </c>
      <c r="K5" s="114">
        <v>272</v>
      </c>
      <c r="L5" s="45" t="s">
        <v>40</v>
      </c>
      <c r="M5" s="45" t="s">
        <v>37</v>
      </c>
      <c r="N5" s="45" t="s">
        <v>16</v>
      </c>
      <c r="O5" s="84">
        <v>0.1215714092690177</v>
      </c>
    </row>
    <row r="6" spans="1:15" x14ac:dyDescent="0.3">
      <c r="A6" s="44" t="s">
        <v>27</v>
      </c>
      <c r="B6" s="45" t="s">
        <v>28</v>
      </c>
      <c r="C6" s="46">
        <v>45388</v>
      </c>
      <c r="D6" s="45" t="s">
        <v>14</v>
      </c>
      <c r="E6" s="45" t="s">
        <v>29</v>
      </c>
      <c r="F6" s="114">
        <v>2748</v>
      </c>
      <c r="G6" s="114">
        <v>145</v>
      </c>
      <c r="H6" s="114">
        <v>315</v>
      </c>
      <c r="I6" s="114">
        <v>24401</v>
      </c>
      <c r="J6" s="114">
        <v>61182</v>
      </c>
      <c r="K6" s="114">
        <v>200</v>
      </c>
      <c r="L6" s="45" t="s">
        <v>19</v>
      </c>
      <c r="M6" s="45" t="s">
        <v>338</v>
      </c>
      <c r="N6" s="45" t="s">
        <v>20</v>
      </c>
      <c r="O6" s="84">
        <v>0.1314700217204213</v>
      </c>
    </row>
    <row r="7" spans="1:15" x14ac:dyDescent="0.3">
      <c r="A7" s="44" t="s">
        <v>30</v>
      </c>
      <c r="B7" s="45" t="s">
        <v>28</v>
      </c>
      <c r="C7" s="46">
        <v>45456</v>
      </c>
      <c r="D7" s="45" t="s">
        <v>14</v>
      </c>
      <c r="E7" s="45" t="s">
        <v>31</v>
      </c>
      <c r="F7" s="114">
        <v>3882</v>
      </c>
      <c r="G7" s="114">
        <v>239</v>
      </c>
      <c r="H7" s="114">
        <v>275</v>
      </c>
      <c r="I7" s="114">
        <v>58748</v>
      </c>
      <c r="J7" s="114">
        <v>44646</v>
      </c>
      <c r="K7" s="114">
        <v>149</v>
      </c>
      <c r="L7" s="45" t="s">
        <v>19</v>
      </c>
      <c r="M7" s="45" t="s">
        <v>338</v>
      </c>
      <c r="N7" s="45" t="s">
        <v>20</v>
      </c>
      <c r="O7" s="84">
        <v>7.4828079253761837E-2</v>
      </c>
    </row>
    <row r="8" spans="1:15" x14ac:dyDescent="0.3">
      <c r="A8" s="41" t="s">
        <v>32</v>
      </c>
      <c r="B8" s="42" t="s">
        <v>22</v>
      </c>
      <c r="C8" s="43">
        <v>45645</v>
      </c>
      <c r="D8" s="42" t="s">
        <v>23</v>
      </c>
      <c r="E8" s="42" t="s">
        <v>33</v>
      </c>
      <c r="F8" s="113">
        <v>4674</v>
      </c>
      <c r="G8" s="113">
        <v>409</v>
      </c>
      <c r="H8" s="113">
        <v>327</v>
      </c>
      <c r="I8" s="113">
        <v>20756</v>
      </c>
      <c r="J8" s="113">
        <v>63599</v>
      </c>
      <c r="K8" s="113">
        <v>212</v>
      </c>
      <c r="L8" s="42" t="s">
        <v>40</v>
      </c>
      <c r="M8" s="42" t="s">
        <v>37</v>
      </c>
      <c r="N8" s="42" t="s">
        <v>16</v>
      </c>
      <c r="O8" s="83">
        <v>0.26064752360763155</v>
      </c>
    </row>
    <row r="9" spans="1:15" x14ac:dyDescent="0.3">
      <c r="A9" s="44" t="s">
        <v>34</v>
      </c>
      <c r="B9" s="45" t="s">
        <v>22</v>
      </c>
      <c r="C9" s="46">
        <v>45421</v>
      </c>
      <c r="D9" s="45" t="s">
        <v>23</v>
      </c>
      <c r="E9" s="45" t="s">
        <v>26</v>
      </c>
      <c r="F9" s="114">
        <v>1428</v>
      </c>
      <c r="G9" s="114">
        <v>347</v>
      </c>
      <c r="H9" s="114">
        <v>67</v>
      </c>
      <c r="I9" s="114">
        <v>21148</v>
      </c>
      <c r="J9" s="114">
        <v>19712</v>
      </c>
      <c r="K9" s="114">
        <v>120</v>
      </c>
      <c r="L9" s="45" t="s">
        <v>19</v>
      </c>
      <c r="M9" s="45" t="s">
        <v>337</v>
      </c>
      <c r="N9" s="45" t="s">
        <v>16</v>
      </c>
      <c r="O9" s="84">
        <v>8.7100435029317191E-2</v>
      </c>
    </row>
    <row r="10" spans="1:15" x14ac:dyDescent="0.3">
      <c r="A10" s="44" t="s">
        <v>35</v>
      </c>
      <c r="B10" s="45" t="s">
        <v>22</v>
      </c>
      <c r="C10" s="46">
        <v>45823</v>
      </c>
      <c r="D10" s="45" t="s">
        <v>14</v>
      </c>
      <c r="E10" s="45" t="s">
        <v>36</v>
      </c>
      <c r="F10" s="114">
        <v>4432</v>
      </c>
      <c r="G10" s="114">
        <v>223</v>
      </c>
      <c r="H10" s="114">
        <v>299</v>
      </c>
      <c r="I10" s="114">
        <v>59016</v>
      </c>
      <c r="J10" s="114">
        <v>21742</v>
      </c>
      <c r="K10" s="114">
        <v>171</v>
      </c>
      <c r="L10" s="45" t="s">
        <v>37</v>
      </c>
      <c r="M10" s="45"/>
      <c r="N10" s="45" t="s">
        <v>16</v>
      </c>
      <c r="O10" s="84">
        <v>8.3943337400027115E-2</v>
      </c>
    </row>
    <row r="11" spans="1:15" x14ac:dyDescent="0.3">
      <c r="A11" s="44" t="s">
        <v>38</v>
      </c>
      <c r="B11" s="45" t="s">
        <v>22</v>
      </c>
      <c r="C11" s="46">
        <v>45630</v>
      </c>
      <c r="D11" s="45" t="s">
        <v>14</v>
      </c>
      <c r="E11" s="45" t="s">
        <v>26</v>
      </c>
      <c r="F11" s="114">
        <v>2357</v>
      </c>
      <c r="G11" s="114">
        <v>274</v>
      </c>
      <c r="H11" s="114">
        <v>172</v>
      </c>
      <c r="I11" s="114">
        <v>21566</v>
      </c>
      <c r="J11" s="114">
        <v>66829</v>
      </c>
      <c r="K11" s="114">
        <v>284</v>
      </c>
      <c r="L11" s="45" t="s">
        <v>37</v>
      </c>
      <c r="M11" s="45"/>
      <c r="N11" s="45" t="s">
        <v>16</v>
      </c>
      <c r="O11" s="84">
        <v>0.12997310581470833</v>
      </c>
    </row>
    <row r="12" spans="1:15" x14ac:dyDescent="0.3">
      <c r="A12" s="44" t="s">
        <v>39</v>
      </c>
      <c r="B12" s="45" t="s">
        <v>22</v>
      </c>
      <c r="C12" s="46">
        <v>45357</v>
      </c>
      <c r="D12" s="45" t="s">
        <v>14</v>
      </c>
      <c r="E12" s="45" t="s">
        <v>15</v>
      </c>
      <c r="F12" s="114">
        <v>1971</v>
      </c>
      <c r="G12" s="114">
        <v>370</v>
      </c>
      <c r="H12" s="114">
        <v>306</v>
      </c>
      <c r="I12" s="114">
        <v>31316</v>
      </c>
      <c r="J12" s="114">
        <v>27897</v>
      </c>
      <c r="K12" s="114">
        <v>88</v>
      </c>
      <c r="L12" s="45" t="s">
        <v>40</v>
      </c>
      <c r="M12" s="45"/>
      <c r="N12" s="45" t="s">
        <v>20</v>
      </c>
      <c r="O12" s="84">
        <v>8.4525482181632389E-2</v>
      </c>
    </row>
    <row r="13" spans="1:15" x14ac:dyDescent="0.3">
      <c r="A13" s="41" t="s">
        <v>41</v>
      </c>
      <c r="B13" s="42" t="s">
        <v>13</v>
      </c>
      <c r="C13" s="43">
        <v>45426</v>
      </c>
      <c r="D13" s="42" t="s">
        <v>14</v>
      </c>
      <c r="E13" s="42" t="s">
        <v>15</v>
      </c>
      <c r="F13" s="113">
        <v>1485</v>
      </c>
      <c r="G13" s="113">
        <v>353</v>
      </c>
      <c r="H13" s="113">
        <v>244</v>
      </c>
      <c r="I13" s="113">
        <v>38419</v>
      </c>
      <c r="J13" s="113">
        <v>38556</v>
      </c>
      <c r="K13" s="113">
        <v>86</v>
      </c>
      <c r="L13" s="42" t="s">
        <v>40</v>
      </c>
      <c r="M13" s="42" t="s">
        <v>37</v>
      </c>
      <c r="N13" s="42" t="s">
        <v>16</v>
      </c>
      <c r="O13" s="83">
        <v>5.4191936281527367E-2</v>
      </c>
    </row>
    <row r="14" spans="1:15" x14ac:dyDescent="0.3">
      <c r="A14" s="41" t="s">
        <v>42</v>
      </c>
      <c r="B14" s="42" t="s">
        <v>22</v>
      </c>
      <c r="C14" s="43">
        <v>45826</v>
      </c>
      <c r="D14" s="42" t="s">
        <v>23</v>
      </c>
      <c r="E14" s="42" t="s">
        <v>15</v>
      </c>
      <c r="F14" s="113">
        <v>3956</v>
      </c>
      <c r="G14" s="113">
        <v>319</v>
      </c>
      <c r="H14" s="113">
        <v>61</v>
      </c>
      <c r="I14" s="113">
        <v>58162</v>
      </c>
      <c r="J14" s="113">
        <v>28720</v>
      </c>
      <c r="K14" s="113">
        <v>213</v>
      </c>
      <c r="L14" s="42" t="s">
        <v>337</v>
      </c>
      <c r="M14" s="42" t="s">
        <v>37</v>
      </c>
      <c r="N14" s="42" t="s">
        <v>16</v>
      </c>
      <c r="O14" s="83">
        <v>7.4550393727863554E-2</v>
      </c>
    </row>
    <row r="15" spans="1:15" x14ac:dyDescent="0.3">
      <c r="A15" s="41" t="s">
        <v>43</v>
      </c>
      <c r="B15" s="42" t="s">
        <v>22</v>
      </c>
      <c r="C15" s="43">
        <v>45573</v>
      </c>
      <c r="D15" s="42" t="s">
        <v>14</v>
      </c>
      <c r="E15" s="42" t="s">
        <v>44</v>
      </c>
      <c r="F15" s="113">
        <v>2460</v>
      </c>
      <c r="G15" s="113">
        <v>409</v>
      </c>
      <c r="H15" s="113">
        <v>253</v>
      </c>
      <c r="I15" s="113">
        <v>36702</v>
      </c>
      <c r="J15" s="113">
        <v>46122</v>
      </c>
      <c r="K15" s="113">
        <v>264</v>
      </c>
      <c r="L15" s="42" t="s">
        <v>37</v>
      </c>
      <c r="M15" s="42"/>
      <c r="N15" s="42" t="s">
        <v>16</v>
      </c>
      <c r="O15" s="83">
        <v>8.5063484278785892E-2</v>
      </c>
    </row>
    <row r="16" spans="1:15" x14ac:dyDescent="0.3">
      <c r="A16" s="41" t="s">
        <v>45</v>
      </c>
      <c r="B16" s="42" t="s">
        <v>22</v>
      </c>
      <c r="C16" s="43">
        <v>45418</v>
      </c>
      <c r="D16" s="42" t="s">
        <v>14</v>
      </c>
      <c r="E16" s="42" t="s">
        <v>46</v>
      </c>
      <c r="F16" s="113">
        <v>3476</v>
      </c>
      <c r="G16" s="113">
        <v>355</v>
      </c>
      <c r="H16" s="113">
        <v>396</v>
      </c>
      <c r="I16" s="113">
        <v>37492</v>
      </c>
      <c r="J16" s="113">
        <v>27285</v>
      </c>
      <c r="K16" s="113">
        <v>179</v>
      </c>
      <c r="L16" s="42" t="s">
        <v>37</v>
      </c>
      <c r="M16" s="42"/>
      <c r="N16" s="42" t="s">
        <v>16</v>
      </c>
      <c r="O16" s="83">
        <v>0.11274405206444041</v>
      </c>
    </row>
    <row r="17" spans="1:15" x14ac:dyDescent="0.3">
      <c r="A17" s="41" t="s">
        <v>47</v>
      </c>
      <c r="B17" s="42" t="s">
        <v>22</v>
      </c>
      <c r="C17" s="43">
        <v>45655</v>
      </c>
      <c r="D17" s="42" t="s">
        <v>23</v>
      </c>
      <c r="E17" s="42" t="s">
        <v>24</v>
      </c>
      <c r="F17" s="113">
        <v>4049</v>
      </c>
      <c r="G17" s="113">
        <v>377</v>
      </c>
      <c r="H17" s="113">
        <v>94</v>
      </c>
      <c r="I17" s="113">
        <v>48182</v>
      </c>
      <c r="J17" s="113">
        <v>42875</v>
      </c>
      <c r="K17" s="113">
        <v>172</v>
      </c>
      <c r="L17" s="42" t="s">
        <v>337</v>
      </c>
      <c r="M17" s="42" t="s">
        <v>37</v>
      </c>
      <c r="N17" s="42" t="s">
        <v>16</v>
      </c>
      <c r="O17" s="83">
        <v>9.3810966751068869E-2</v>
      </c>
    </row>
    <row r="18" spans="1:15" x14ac:dyDescent="0.3">
      <c r="A18" s="41" t="s">
        <v>48</v>
      </c>
      <c r="B18" s="42" t="s">
        <v>22</v>
      </c>
      <c r="C18" s="43">
        <v>45453</v>
      </c>
      <c r="D18" s="42" t="s">
        <v>14</v>
      </c>
      <c r="E18" s="42" t="s">
        <v>31</v>
      </c>
      <c r="F18" s="113">
        <v>1514</v>
      </c>
      <c r="G18" s="113">
        <v>164</v>
      </c>
      <c r="H18" s="113">
        <v>275</v>
      </c>
      <c r="I18" s="113">
        <v>41364</v>
      </c>
      <c r="J18" s="113">
        <v>44389</v>
      </c>
      <c r="K18" s="113">
        <v>83</v>
      </c>
      <c r="L18" s="42" t="s">
        <v>37</v>
      </c>
      <c r="M18" s="42"/>
      <c r="N18" s="42" t="s">
        <v>16</v>
      </c>
      <c r="O18" s="83">
        <v>4.7214969538729328E-2</v>
      </c>
    </row>
    <row r="19" spans="1:15" x14ac:dyDescent="0.3">
      <c r="A19" s="44" t="s">
        <v>49</v>
      </c>
      <c r="B19" s="45" t="s">
        <v>13</v>
      </c>
      <c r="C19" s="46">
        <v>45325</v>
      </c>
      <c r="D19" s="45" t="s">
        <v>23</v>
      </c>
      <c r="E19" s="45" t="s">
        <v>29</v>
      </c>
      <c r="F19" s="114">
        <v>4281</v>
      </c>
      <c r="G19" s="114">
        <v>101</v>
      </c>
      <c r="H19" s="114">
        <v>163</v>
      </c>
      <c r="I19" s="114">
        <v>32278</v>
      </c>
      <c r="J19" s="114">
        <v>53382</v>
      </c>
      <c r="K19" s="114">
        <v>235</v>
      </c>
      <c r="L19" s="45" t="s">
        <v>37</v>
      </c>
      <c r="M19" s="45"/>
      <c r="N19" s="45" t="s">
        <v>50</v>
      </c>
      <c r="O19" s="84">
        <v>0.1408079806679472</v>
      </c>
    </row>
    <row r="20" spans="1:15" x14ac:dyDescent="0.3">
      <c r="A20" s="41" t="s">
        <v>51</v>
      </c>
      <c r="B20" s="42" t="s">
        <v>28</v>
      </c>
      <c r="C20" s="43">
        <v>45458</v>
      </c>
      <c r="D20" s="42" t="s">
        <v>52</v>
      </c>
      <c r="E20" s="42" t="s">
        <v>33</v>
      </c>
      <c r="F20" s="113">
        <v>1751</v>
      </c>
      <c r="G20" s="113">
        <v>143</v>
      </c>
      <c r="H20" s="113">
        <v>151</v>
      </c>
      <c r="I20" s="113">
        <v>31826</v>
      </c>
      <c r="J20" s="113">
        <v>47729</v>
      </c>
      <c r="K20" s="113">
        <v>95</v>
      </c>
      <c r="L20" s="42" t="s">
        <v>19</v>
      </c>
      <c r="M20" s="42" t="s">
        <v>40</v>
      </c>
      <c r="N20" s="42" t="s">
        <v>53</v>
      </c>
      <c r="O20" s="83">
        <v>6.4255640042732362E-2</v>
      </c>
    </row>
    <row r="21" spans="1:15" x14ac:dyDescent="0.3">
      <c r="A21" s="41" t="s">
        <v>54</v>
      </c>
      <c r="B21" s="42" t="s">
        <v>13</v>
      </c>
      <c r="C21" s="43">
        <v>45478</v>
      </c>
      <c r="D21" s="42" t="s">
        <v>14</v>
      </c>
      <c r="E21" s="42" t="s">
        <v>46</v>
      </c>
      <c r="F21" s="113">
        <v>3753</v>
      </c>
      <c r="G21" s="113">
        <v>411</v>
      </c>
      <c r="H21" s="113">
        <v>308</v>
      </c>
      <c r="I21" s="113">
        <v>29138</v>
      </c>
      <c r="J21" s="113">
        <v>27678</v>
      </c>
      <c r="K21" s="113">
        <v>90</v>
      </c>
      <c r="L21" s="42" t="s">
        <v>19</v>
      </c>
      <c r="M21" s="42"/>
      <c r="N21" s="42" t="s">
        <v>20</v>
      </c>
      <c r="O21" s="83">
        <v>0.15347655981879332</v>
      </c>
    </row>
    <row r="22" spans="1:15" x14ac:dyDescent="0.3">
      <c r="A22" s="41" t="s">
        <v>55</v>
      </c>
      <c r="B22" s="42" t="s">
        <v>13</v>
      </c>
      <c r="C22" s="43">
        <v>45603</v>
      </c>
      <c r="D22" s="42" t="s">
        <v>23</v>
      </c>
      <c r="E22" s="42" t="s">
        <v>26</v>
      </c>
      <c r="F22" s="113">
        <v>1678</v>
      </c>
      <c r="G22" s="113">
        <v>423</v>
      </c>
      <c r="H22" s="113">
        <v>323</v>
      </c>
      <c r="I22" s="113">
        <v>55668</v>
      </c>
      <c r="J22" s="113">
        <v>37945</v>
      </c>
      <c r="K22" s="113">
        <v>230</v>
      </c>
      <c r="L22" s="42" t="s">
        <v>37</v>
      </c>
      <c r="M22" s="42"/>
      <c r="N22" s="42" t="s">
        <v>50</v>
      </c>
      <c r="O22" s="83">
        <v>4.3543867212761371E-2</v>
      </c>
    </row>
    <row r="23" spans="1:15" x14ac:dyDescent="0.3">
      <c r="A23" s="44" t="s">
        <v>56</v>
      </c>
      <c r="B23" s="45" t="s">
        <v>13</v>
      </c>
      <c r="C23" s="46">
        <v>45823</v>
      </c>
      <c r="D23" s="45" t="s">
        <v>14</v>
      </c>
      <c r="E23" s="45" t="s">
        <v>31</v>
      </c>
      <c r="F23" s="114">
        <v>4896</v>
      </c>
      <c r="G23" s="114">
        <v>466</v>
      </c>
      <c r="H23" s="114">
        <v>233</v>
      </c>
      <c r="I23" s="114">
        <v>28621</v>
      </c>
      <c r="J23" s="114">
        <v>34270</v>
      </c>
      <c r="K23" s="114">
        <v>84</v>
      </c>
      <c r="L23" s="45" t="s">
        <v>40</v>
      </c>
      <c r="M23" s="45" t="s">
        <v>37</v>
      </c>
      <c r="N23" s="45" t="s">
        <v>16</v>
      </c>
      <c r="O23" s="84">
        <v>0.19548583208133888</v>
      </c>
    </row>
    <row r="24" spans="1:15" x14ac:dyDescent="0.3">
      <c r="A24" s="44" t="s">
        <v>57</v>
      </c>
      <c r="B24" s="45" t="s">
        <v>28</v>
      </c>
      <c r="C24" s="46">
        <v>45452</v>
      </c>
      <c r="D24" s="45" t="s">
        <v>52</v>
      </c>
      <c r="E24" s="45" t="s">
        <v>44</v>
      </c>
      <c r="F24" s="114">
        <v>2786</v>
      </c>
      <c r="G24" s="114">
        <v>368</v>
      </c>
      <c r="H24" s="114">
        <v>208</v>
      </c>
      <c r="I24" s="114">
        <v>42000</v>
      </c>
      <c r="J24" s="114">
        <v>39967</v>
      </c>
      <c r="K24" s="114">
        <v>103</v>
      </c>
      <c r="L24" s="45" t="s">
        <v>19</v>
      </c>
      <c r="M24" s="45" t="s">
        <v>40</v>
      </c>
      <c r="N24" s="45" t="s">
        <v>53</v>
      </c>
      <c r="O24" s="84">
        <v>8.0047619047619048E-2</v>
      </c>
    </row>
    <row r="25" spans="1:15" x14ac:dyDescent="0.3">
      <c r="A25" s="41" t="s">
        <v>58</v>
      </c>
      <c r="B25" s="42" t="s">
        <v>22</v>
      </c>
      <c r="C25" s="43">
        <v>45583</v>
      </c>
      <c r="D25" s="42" t="s">
        <v>14</v>
      </c>
      <c r="E25" s="42" t="s">
        <v>24</v>
      </c>
      <c r="F25" s="113">
        <v>2607</v>
      </c>
      <c r="G25" s="113">
        <v>379</v>
      </c>
      <c r="H25" s="113">
        <v>180</v>
      </c>
      <c r="I25" s="113">
        <v>28712</v>
      </c>
      <c r="J25" s="113">
        <v>61620</v>
      </c>
      <c r="K25" s="113">
        <v>174</v>
      </c>
      <c r="L25" s="42" t="s">
        <v>40</v>
      </c>
      <c r="M25" s="42"/>
      <c r="N25" s="42" t="s">
        <v>20</v>
      </c>
      <c r="O25" s="83">
        <v>0.11026748397882419</v>
      </c>
    </row>
    <row r="26" spans="1:15" x14ac:dyDescent="0.3">
      <c r="A26" s="44" t="s">
        <v>59</v>
      </c>
      <c r="B26" s="45" t="s">
        <v>28</v>
      </c>
      <c r="C26" s="46">
        <v>45575</v>
      </c>
      <c r="D26" s="45" t="s">
        <v>52</v>
      </c>
      <c r="E26" s="45" t="s">
        <v>44</v>
      </c>
      <c r="F26" s="114">
        <v>4013</v>
      </c>
      <c r="G26" s="114">
        <v>320</v>
      </c>
      <c r="H26" s="114">
        <v>92</v>
      </c>
      <c r="I26" s="114">
        <v>54605</v>
      </c>
      <c r="J26" s="114">
        <v>60169</v>
      </c>
      <c r="K26" s="114">
        <v>232</v>
      </c>
      <c r="L26" s="45" t="s">
        <v>19</v>
      </c>
      <c r="M26" s="45" t="s">
        <v>40</v>
      </c>
      <c r="N26" s="45" t="s">
        <v>53</v>
      </c>
      <c r="O26" s="84">
        <v>8.1036535115831879E-2</v>
      </c>
    </row>
    <row r="27" spans="1:15" x14ac:dyDescent="0.3">
      <c r="A27" s="41" t="s">
        <v>60</v>
      </c>
      <c r="B27" s="42" t="s">
        <v>22</v>
      </c>
      <c r="C27" s="43">
        <v>45791</v>
      </c>
      <c r="D27" s="42" t="s">
        <v>23</v>
      </c>
      <c r="E27" s="42" t="s">
        <v>44</v>
      </c>
      <c r="F27" s="113">
        <v>2707</v>
      </c>
      <c r="G27" s="113">
        <v>103</v>
      </c>
      <c r="H27" s="113">
        <v>51</v>
      </c>
      <c r="I27" s="113">
        <v>55302</v>
      </c>
      <c r="J27" s="113">
        <v>18801</v>
      </c>
      <c r="K27" s="113">
        <v>147</v>
      </c>
      <c r="L27" s="42" t="s">
        <v>19</v>
      </c>
      <c r="M27" s="42" t="s">
        <v>337</v>
      </c>
      <c r="N27" s="42" t="s">
        <v>16</v>
      </c>
      <c r="O27" s="83">
        <v>5.173411449857148E-2</v>
      </c>
    </row>
    <row r="28" spans="1:15" x14ac:dyDescent="0.3">
      <c r="A28" s="41" t="s">
        <v>61</v>
      </c>
      <c r="B28" s="42" t="s">
        <v>13</v>
      </c>
      <c r="C28" s="43">
        <v>45625</v>
      </c>
      <c r="D28" s="42" t="s">
        <v>14</v>
      </c>
      <c r="E28" s="42" t="s">
        <v>31</v>
      </c>
      <c r="F28" s="113">
        <v>2824</v>
      </c>
      <c r="G28" s="113">
        <v>425</v>
      </c>
      <c r="H28" s="113">
        <v>274</v>
      </c>
      <c r="I28" s="113">
        <v>31004</v>
      </c>
      <c r="J28" s="113">
        <v>53488</v>
      </c>
      <c r="K28" s="113">
        <v>268</v>
      </c>
      <c r="L28" s="42" t="s">
        <v>40</v>
      </c>
      <c r="M28" s="42" t="s">
        <v>37</v>
      </c>
      <c r="N28" s="42" t="s">
        <v>16</v>
      </c>
      <c r="O28" s="83">
        <v>0.11363049929041415</v>
      </c>
    </row>
    <row r="29" spans="1:15" x14ac:dyDescent="0.3">
      <c r="A29" s="41" t="s">
        <v>62</v>
      </c>
      <c r="B29" s="42" t="s">
        <v>28</v>
      </c>
      <c r="C29" s="43">
        <v>45356</v>
      </c>
      <c r="D29" s="42" t="s">
        <v>52</v>
      </c>
      <c r="E29" s="42" t="s">
        <v>18</v>
      </c>
      <c r="F29" s="113">
        <v>3558</v>
      </c>
      <c r="G29" s="113">
        <v>314</v>
      </c>
      <c r="H29" s="113">
        <v>199</v>
      </c>
      <c r="I29" s="113">
        <v>49612</v>
      </c>
      <c r="J29" s="113">
        <v>53929</v>
      </c>
      <c r="K29" s="113">
        <v>206</v>
      </c>
      <c r="L29" s="42" t="s">
        <v>19</v>
      </c>
      <c r="M29" s="42" t="s">
        <v>40</v>
      </c>
      <c r="N29" s="42" t="s">
        <v>53</v>
      </c>
      <c r="O29" s="83">
        <v>8.205676046117874E-2</v>
      </c>
    </row>
    <row r="30" spans="1:15" x14ac:dyDescent="0.3">
      <c r="A30" s="41" t="s">
        <v>63</v>
      </c>
      <c r="B30" s="42" t="s">
        <v>22</v>
      </c>
      <c r="C30" s="43">
        <v>45734</v>
      </c>
      <c r="D30" s="42" t="s">
        <v>23</v>
      </c>
      <c r="E30" s="42" t="s">
        <v>18</v>
      </c>
      <c r="F30" s="113">
        <v>3418</v>
      </c>
      <c r="G30" s="113">
        <v>188</v>
      </c>
      <c r="H30" s="113">
        <v>387</v>
      </c>
      <c r="I30" s="113">
        <v>57431</v>
      </c>
      <c r="J30" s="113">
        <v>36933</v>
      </c>
      <c r="K30" s="113">
        <v>202</v>
      </c>
      <c r="L30" s="42" t="s">
        <v>337</v>
      </c>
      <c r="M30" s="42" t="s">
        <v>37</v>
      </c>
      <c r="N30" s="42" t="s">
        <v>16</v>
      </c>
      <c r="O30" s="83">
        <v>6.9526910553533799E-2</v>
      </c>
    </row>
    <row r="31" spans="1:15" x14ac:dyDescent="0.3">
      <c r="A31" s="41" t="s">
        <v>64</v>
      </c>
      <c r="B31" s="42" t="s">
        <v>22</v>
      </c>
      <c r="C31" s="43">
        <v>45773</v>
      </c>
      <c r="D31" s="42" t="s">
        <v>14</v>
      </c>
      <c r="E31" s="42" t="s">
        <v>15</v>
      </c>
      <c r="F31" s="113">
        <v>2411</v>
      </c>
      <c r="G31" s="113">
        <v>194</v>
      </c>
      <c r="H31" s="113">
        <v>168</v>
      </c>
      <c r="I31" s="113">
        <v>26665</v>
      </c>
      <c r="J31" s="113">
        <v>71699</v>
      </c>
      <c r="K31" s="113">
        <v>197</v>
      </c>
      <c r="L31" s="42" t="s">
        <v>37</v>
      </c>
      <c r="M31" s="42"/>
      <c r="N31" s="42" t="s">
        <v>16</v>
      </c>
      <c r="O31" s="83">
        <v>0.10399399962497656</v>
      </c>
    </row>
    <row r="32" spans="1:15" x14ac:dyDescent="0.3">
      <c r="A32" s="44" t="s">
        <v>65</v>
      </c>
      <c r="B32" s="45" t="s">
        <v>13</v>
      </c>
      <c r="C32" s="46">
        <v>45658</v>
      </c>
      <c r="D32" s="45" t="s">
        <v>14</v>
      </c>
      <c r="E32" s="45" t="s">
        <v>24</v>
      </c>
      <c r="F32" s="114">
        <v>4036</v>
      </c>
      <c r="G32" s="114">
        <v>112</v>
      </c>
      <c r="H32" s="114">
        <v>382</v>
      </c>
      <c r="I32" s="114">
        <v>56284</v>
      </c>
      <c r="J32" s="114">
        <v>29440</v>
      </c>
      <c r="K32" s="114">
        <v>279</v>
      </c>
      <c r="L32" s="45" t="s">
        <v>40</v>
      </c>
      <c r="M32" s="45" t="s">
        <v>37</v>
      </c>
      <c r="N32" s="45" t="s">
        <v>16</v>
      </c>
      <c r="O32" s="84">
        <v>8.0484684812735408E-2</v>
      </c>
    </row>
    <row r="33" spans="1:15" x14ac:dyDescent="0.3">
      <c r="A33" s="41" t="s">
        <v>66</v>
      </c>
      <c r="B33" s="42" t="s">
        <v>22</v>
      </c>
      <c r="C33" s="43">
        <v>45419</v>
      </c>
      <c r="D33" s="42" t="s">
        <v>23</v>
      </c>
      <c r="E33" s="42" t="s">
        <v>18</v>
      </c>
      <c r="F33" s="113">
        <v>2776</v>
      </c>
      <c r="G33" s="113">
        <v>307</v>
      </c>
      <c r="H33" s="113">
        <v>178</v>
      </c>
      <c r="I33" s="113">
        <v>43365</v>
      </c>
      <c r="J33" s="113">
        <v>48408</v>
      </c>
      <c r="K33" s="113">
        <v>138</v>
      </c>
      <c r="L33" s="42" t="s">
        <v>40</v>
      </c>
      <c r="M33" s="42" t="s">
        <v>37</v>
      </c>
      <c r="N33" s="42" t="s">
        <v>16</v>
      </c>
      <c r="O33" s="83">
        <v>7.519889311656866E-2</v>
      </c>
    </row>
    <row r="34" spans="1:15" x14ac:dyDescent="0.3">
      <c r="A34" s="41" t="s">
        <v>67</v>
      </c>
      <c r="B34" s="42" t="s">
        <v>22</v>
      </c>
      <c r="C34" s="43">
        <v>45574</v>
      </c>
      <c r="D34" s="42" t="s">
        <v>23</v>
      </c>
      <c r="E34" s="42" t="s">
        <v>15</v>
      </c>
      <c r="F34" s="113">
        <v>4929</v>
      </c>
      <c r="G34" s="113">
        <v>182</v>
      </c>
      <c r="H34" s="113">
        <v>95</v>
      </c>
      <c r="I34" s="113">
        <v>32181</v>
      </c>
      <c r="J34" s="113">
        <v>31084</v>
      </c>
      <c r="K34" s="113">
        <v>289</v>
      </c>
      <c r="L34" s="42" t="s">
        <v>19</v>
      </c>
      <c r="M34" s="42" t="s">
        <v>337</v>
      </c>
      <c r="N34" s="42" t="s">
        <v>16</v>
      </c>
      <c r="O34" s="83">
        <v>0.16177247444144061</v>
      </c>
    </row>
    <row r="35" spans="1:15" x14ac:dyDescent="0.3">
      <c r="A35" s="44" t="s">
        <v>68</v>
      </c>
      <c r="B35" s="45" t="s">
        <v>13</v>
      </c>
      <c r="C35" s="46">
        <v>45666</v>
      </c>
      <c r="D35" s="45" t="s">
        <v>14</v>
      </c>
      <c r="E35" s="45" t="s">
        <v>24</v>
      </c>
      <c r="F35" s="114">
        <v>1015</v>
      </c>
      <c r="G35" s="114">
        <v>366</v>
      </c>
      <c r="H35" s="114">
        <v>308</v>
      </c>
      <c r="I35" s="114">
        <v>38127</v>
      </c>
      <c r="J35" s="114">
        <v>63790</v>
      </c>
      <c r="K35" s="114">
        <v>287</v>
      </c>
      <c r="L35" s="45" t="s">
        <v>40</v>
      </c>
      <c r="M35" s="45" t="s">
        <v>37</v>
      </c>
      <c r="N35" s="45" t="s">
        <v>16</v>
      </c>
      <c r="O35" s="84">
        <v>4.4299315445747112E-2</v>
      </c>
    </row>
    <row r="36" spans="1:15" x14ac:dyDescent="0.3">
      <c r="A36" s="44" t="s">
        <v>69</v>
      </c>
      <c r="B36" s="45" t="s">
        <v>22</v>
      </c>
      <c r="C36" s="46">
        <v>45785</v>
      </c>
      <c r="D36" s="45" t="s">
        <v>23</v>
      </c>
      <c r="E36" s="45" t="s">
        <v>46</v>
      </c>
      <c r="F36" s="114">
        <v>3316</v>
      </c>
      <c r="G36" s="114">
        <v>332</v>
      </c>
      <c r="H36" s="114">
        <v>268</v>
      </c>
      <c r="I36" s="114">
        <v>40095</v>
      </c>
      <c r="J36" s="114">
        <v>36913</v>
      </c>
      <c r="K36" s="114">
        <v>265</v>
      </c>
      <c r="L36" s="45" t="s">
        <v>337</v>
      </c>
      <c r="M36" s="45" t="s">
        <v>37</v>
      </c>
      <c r="N36" s="45" t="s">
        <v>16</v>
      </c>
      <c r="O36" s="84">
        <v>9.7668038408779148E-2</v>
      </c>
    </row>
    <row r="37" spans="1:15" x14ac:dyDescent="0.3">
      <c r="A37" s="41" t="s">
        <v>70</v>
      </c>
      <c r="B37" s="42" t="s">
        <v>13</v>
      </c>
      <c r="C37" s="43">
        <v>45416</v>
      </c>
      <c r="D37" s="42" t="s">
        <v>14</v>
      </c>
      <c r="E37" s="42" t="s">
        <v>26</v>
      </c>
      <c r="F37" s="113">
        <v>2274</v>
      </c>
      <c r="G37" s="113">
        <v>243</v>
      </c>
      <c r="H37" s="113">
        <v>222</v>
      </c>
      <c r="I37" s="113">
        <v>43066</v>
      </c>
      <c r="J37" s="113">
        <v>59174</v>
      </c>
      <c r="K37" s="113">
        <v>80</v>
      </c>
      <c r="L37" s="42" t="s">
        <v>19</v>
      </c>
      <c r="M37" s="42"/>
      <c r="N37" s="42" t="s">
        <v>20</v>
      </c>
      <c r="O37" s="83">
        <v>6.3600055728416843E-2</v>
      </c>
    </row>
    <row r="38" spans="1:15" x14ac:dyDescent="0.3">
      <c r="A38" s="41" t="s">
        <v>71</v>
      </c>
      <c r="B38" s="42" t="s">
        <v>22</v>
      </c>
      <c r="C38" s="43">
        <v>45804</v>
      </c>
      <c r="D38" s="42" t="s">
        <v>23</v>
      </c>
      <c r="E38" s="42" t="s">
        <v>18</v>
      </c>
      <c r="F38" s="113">
        <v>4095</v>
      </c>
      <c r="G38" s="113">
        <v>385</v>
      </c>
      <c r="H38" s="113">
        <v>400</v>
      </c>
      <c r="I38" s="113">
        <v>45300</v>
      </c>
      <c r="J38" s="113">
        <v>31795</v>
      </c>
      <c r="K38" s="113">
        <v>80</v>
      </c>
      <c r="L38" s="42" t="s">
        <v>337</v>
      </c>
      <c r="M38" s="42" t="s">
        <v>37</v>
      </c>
      <c r="N38" s="42" t="s">
        <v>16</v>
      </c>
      <c r="O38" s="83">
        <v>0.10772626931567329</v>
      </c>
    </row>
    <row r="39" spans="1:15" x14ac:dyDescent="0.3">
      <c r="A39" s="44" t="s">
        <v>72</v>
      </c>
      <c r="B39" s="45" t="s">
        <v>13</v>
      </c>
      <c r="C39" s="46">
        <v>45545</v>
      </c>
      <c r="D39" s="45" t="s">
        <v>23</v>
      </c>
      <c r="E39" s="45" t="s">
        <v>24</v>
      </c>
      <c r="F39" s="114">
        <v>1230</v>
      </c>
      <c r="G39" s="114">
        <v>309</v>
      </c>
      <c r="H39" s="114">
        <v>207</v>
      </c>
      <c r="I39" s="114">
        <v>44629</v>
      </c>
      <c r="J39" s="114">
        <v>40699</v>
      </c>
      <c r="K39" s="114">
        <v>195</v>
      </c>
      <c r="L39" s="45" t="s">
        <v>37</v>
      </c>
      <c r="M39" s="45"/>
      <c r="N39" s="45" t="s">
        <v>50</v>
      </c>
      <c r="O39" s="84">
        <v>3.9122543637545096E-2</v>
      </c>
    </row>
    <row r="40" spans="1:15" x14ac:dyDescent="0.3">
      <c r="A40" s="41" t="s">
        <v>73</v>
      </c>
      <c r="B40" s="42" t="s">
        <v>13</v>
      </c>
      <c r="C40" s="43">
        <v>45621</v>
      </c>
      <c r="D40" s="42" t="s">
        <v>14</v>
      </c>
      <c r="E40" s="42" t="s">
        <v>44</v>
      </c>
      <c r="F40" s="113">
        <v>1341</v>
      </c>
      <c r="G40" s="113">
        <v>472</v>
      </c>
      <c r="H40" s="113">
        <v>238</v>
      </c>
      <c r="I40" s="113">
        <v>51386</v>
      </c>
      <c r="J40" s="113">
        <v>51706</v>
      </c>
      <c r="K40" s="113">
        <v>133</v>
      </c>
      <c r="L40" s="42" t="s">
        <v>19</v>
      </c>
      <c r="M40" s="42"/>
      <c r="N40" s="42" t="s">
        <v>20</v>
      </c>
      <c r="O40" s="83">
        <v>3.9913595142645857E-2</v>
      </c>
    </row>
    <row r="41" spans="1:15" x14ac:dyDescent="0.3">
      <c r="A41" s="44" t="s">
        <v>74</v>
      </c>
      <c r="B41" s="45" t="s">
        <v>22</v>
      </c>
      <c r="C41" s="46">
        <v>45818</v>
      </c>
      <c r="D41" s="45" t="s">
        <v>14</v>
      </c>
      <c r="E41" s="45" t="s">
        <v>18</v>
      </c>
      <c r="F41" s="114">
        <v>3615</v>
      </c>
      <c r="G41" s="114">
        <v>192</v>
      </c>
      <c r="H41" s="114">
        <v>162</v>
      </c>
      <c r="I41" s="114">
        <v>27492</v>
      </c>
      <c r="J41" s="114">
        <v>35341</v>
      </c>
      <c r="K41" s="114">
        <v>125</v>
      </c>
      <c r="L41" s="45" t="s">
        <v>37</v>
      </c>
      <c r="M41" s="45"/>
      <c r="N41" s="45" t="s">
        <v>16</v>
      </c>
      <c r="O41" s="84">
        <v>0.14436927106067218</v>
      </c>
    </row>
    <row r="42" spans="1:15" x14ac:dyDescent="0.3">
      <c r="A42" s="41" t="s">
        <v>75</v>
      </c>
      <c r="B42" s="42" t="s">
        <v>13</v>
      </c>
      <c r="C42" s="43">
        <v>45401</v>
      </c>
      <c r="D42" s="42" t="s">
        <v>14</v>
      </c>
      <c r="E42" s="42" t="s">
        <v>24</v>
      </c>
      <c r="F42" s="113">
        <v>4001</v>
      </c>
      <c r="G42" s="113">
        <v>353</v>
      </c>
      <c r="H42" s="113">
        <v>129</v>
      </c>
      <c r="I42" s="113">
        <v>41265</v>
      </c>
      <c r="J42" s="113">
        <v>37279</v>
      </c>
      <c r="K42" s="113">
        <v>275</v>
      </c>
      <c r="L42" s="42" t="s">
        <v>40</v>
      </c>
      <c r="M42" s="42" t="s">
        <v>37</v>
      </c>
      <c r="N42" s="42" t="s">
        <v>16</v>
      </c>
      <c r="O42" s="83">
        <v>0.10863928268508422</v>
      </c>
    </row>
    <row r="43" spans="1:15" x14ac:dyDescent="0.3">
      <c r="A43" s="44" t="s">
        <v>76</v>
      </c>
      <c r="B43" s="45" t="s">
        <v>13</v>
      </c>
      <c r="C43" s="46">
        <v>45683</v>
      </c>
      <c r="D43" s="45" t="s">
        <v>23</v>
      </c>
      <c r="E43" s="45" t="s">
        <v>31</v>
      </c>
      <c r="F43" s="114">
        <v>3451</v>
      </c>
      <c r="G43" s="114">
        <v>363</v>
      </c>
      <c r="H43" s="114">
        <v>393</v>
      </c>
      <c r="I43" s="114">
        <v>44853</v>
      </c>
      <c r="J43" s="114">
        <v>69032</v>
      </c>
      <c r="K43" s="114">
        <v>211</v>
      </c>
      <c r="L43" s="45" t="s">
        <v>37</v>
      </c>
      <c r="M43" s="45"/>
      <c r="N43" s="45" t="s">
        <v>50</v>
      </c>
      <c r="O43" s="84">
        <v>9.379528682585335E-2</v>
      </c>
    </row>
    <row r="44" spans="1:15" x14ac:dyDescent="0.3">
      <c r="A44" s="44" t="s">
        <v>77</v>
      </c>
      <c r="B44" s="45" t="s">
        <v>13</v>
      </c>
      <c r="C44" s="46">
        <v>45702</v>
      </c>
      <c r="D44" s="45" t="s">
        <v>14</v>
      </c>
      <c r="E44" s="45" t="s">
        <v>36</v>
      </c>
      <c r="F44" s="114">
        <v>4891</v>
      </c>
      <c r="G44" s="114">
        <v>450</v>
      </c>
      <c r="H44" s="114">
        <v>387</v>
      </c>
      <c r="I44" s="114">
        <v>48746</v>
      </c>
      <c r="J44" s="114">
        <v>37312</v>
      </c>
      <c r="K44" s="114">
        <v>154</v>
      </c>
      <c r="L44" s="45" t="s">
        <v>40</v>
      </c>
      <c r="M44" s="45" t="s">
        <v>37</v>
      </c>
      <c r="N44" s="45" t="s">
        <v>16</v>
      </c>
      <c r="O44" s="84">
        <v>0.11750707750379519</v>
      </c>
    </row>
    <row r="45" spans="1:15" x14ac:dyDescent="0.3">
      <c r="A45" s="44" t="s">
        <v>78</v>
      </c>
      <c r="B45" s="45" t="s">
        <v>13</v>
      </c>
      <c r="C45" s="46">
        <v>45541</v>
      </c>
      <c r="D45" s="45" t="s">
        <v>14</v>
      </c>
      <c r="E45" s="45" t="s">
        <v>24</v>
      </c>
      <c r="F45" s="114">
        <v>1452</v>
      </c>
      <c r="G45" s="114">
        <v>281</v>
      </c>
      <c r="H45" s="114">
        <v>326</v>
      </c>
      <c r="I45" s="114">
        <v>51556</v>
      </c>
      <c r="J45" s="114">
        <v>62599</v>
      </c>
      <c r="K45" s="114">
        <v>290</v>
      </c>
      <c r="L45" s="45" t="s">
        <v>19</v>
      </c>
      <c r="M45" s="45"/>
      <c r="N45" s="45" t="s">
        <v>20</v>
      </c>
      <c r="O45" s="84">
        <v>3.9937155714174881E-2</v>
      </c>
    </row>
    <row r="46" spans="1:15" x14ac:dyDescent="0.3">
      <c r="A46" s="44" t="s">
        <v>79</v>
      </c>
      <c r="B46" s="45" t="s">
        <v>28</v>
      </c>
      <c r="C46" s="46">
        <v>45487</v>
      </c>
      <c r="D46" s="45" t="s">
        <v>14</v>
      </c>
      <c r="E46" s="45" t="s">
        <v>46</v>
      </c>
      <c r="F46" s="114">
        <v>3806</v>
      </c>
      <c r="G46" s="114">
        <v>114</v>
      </c>
      <c r="H46" s="114">
        <v>278</v>
      </c>
      <c r="I46" s="114">
        <v>36148</v>
      </c>
      <c r="J46" s="114">
        <v>24209</v>
      </c>
      <c r="K46" s="114">
        <v>201</v>
      </c>
      <c r="L46" s="45" t="s">
        <v>19</v>
      </c>
      <c r="M46" s="45" t="s">
        <v>338</v>
      </c>
      <c r="N46" s="45" t="s">
        <v>20</v>
      </c>
      <c r="O46" s="84">
        <v>0.11613367267898639</v>
      </c>
    </row>
    <row r="47" spans="1:15" x14ac:dyDescent="0.3">
      <c r="A47" s="44" t="s">
        <v>80</v>
      </c>
      <c r="B47" s="45" t="s">
        <v>13</v>
      </c>
      <c r="C47" s="46">
        <v>45334</v>
      </c>
      <c r="D47" s="45" t="s">
        <v>14</v>
      </c>
      <c r="E47" s="45" t="s">
        <v>18</v>
      </c>
      <c r="F47" s="114">
        <v>2923</v>
      </c>
      <c r="G47" s="114">
        <v>330</v>
      </c>
      <c r="H47" s="114">
        <v>250</v>
      </c>
      <c r="I47" s="114">
        <v>23993</v>
      </c>
      <c r="J47" s="114">
        <v>74590</v>
      </c>
      <c r="K47" s="114">
        <v>92</v>
      </c>
      <c r="L47" s="45" t="s">
        <v>19</v>
      </c>
      <c r="M47" s="45"/>
      <c r="N47" s="45" t="s">
        <v>20</v>
      </c>
      <c r="O47" s="84">
        <v>0.14600091693410577</v>
      </c>
    </row>
    <row r="48" spans="1:15" x14ac:dyDescent="0.3">
      <c r="A48" s="41" t="s">
        <v>81</v>
      </c>
      <c r="B48" s="42" t="s">
        <v>28</v>
      </c>
      <c r="C48" s="43">
        <v>45365</v>
      </c>
      <c r="D48" s="42" t="s">
        <v>52</v>
      </c>
      <c r="E48" s="42" t="s">
        <v>44</v>
      </c>
      <c r="F48" s="113">
        <v>3361</v>
      </c>
      <c r="G48" s="113">
        <v>188</v>
      </c>
      <c r="H48" s="113">
        <v>358</v>
      </c>
      <c r="I48" s="113">
        <v>39838</v>
      </c>
      <c r="J48" s="113">
        <v>24536</v>
      </c>
      <c r="K48" s="113">
        <v>120</v>
      </c>
      <c r="L48" s="42" t="s">
        <v>19</v>
      </c>
      <c r="M48" s="42" t="s">
        <v>40</v>
      </c>
      <c r="N48" s="42" t="s">
        <v>53</v>
      </c>
      <c r="O48" s="83">
        <v>9.8072192379135503E-2</v>
      </c>
    </row>
    <row r="49" spans="1:15" x14ac:dyDescent="0.3">
      <c r="A49" s="44" t="s">
        <v>82</v>
      </c>
      <c r="B49" s="45" t="s">
        <v>13</v>
      </c>
      <c r="C49" s="46">
        <v>45693</v>
      </c>
      <c r="D49" s="45" t="s">
        <v>23</v>
      </c>
      <c r="E49" s="45" t="s">
        <v>29</v>
      </c>
      <c r="F49" s="114">
        <v>3074</v>
      </c>
      <c r="G49" s="114">
        <v>371</v>
      </c>
      <c r="H49" s="114">
        <v>348</v>
      </c>
      <c r="I49" s="114">
        <v>24104</v>
      </c>
      <c r="J49" s="114">
        <v>57803</v>
      </c>
      <c r="K49" s="114">
        <v>213</v>
      </c>
      <c r="L49" s="45" t="s">
        <v>37</v>
      </c>
      <c r="M49" s="45"/>
      <c r="N49" s="45" t="s">
        <v>50</v>
      </c>
      <c r="O49" s="84">
        <v>0.15735977431131762</v>
      </c>
    </row>
    <row r="50" spans="1:15" x14ac:dyDescent="0.3">
      <c r="A50" s="44" t="s">
        <v>83</v>
      </c>
      <c r="B50" s="45" t="s">
        <v>22</v>
      </c>
      <c r="C50" s="46">
        <v>45533</v>
      </c>
      <c r="D50" s="45" t="s">
        <v>23</v>
      </c>
      <c r="E50" s="45" t="s">
        <v>33</v>
      </c>
      <c r="F50" s="114">
        <v>4276</v>
      </c>
      <c r="G50" s="114">
        <v>227</v>
      </c>
      <c r="H50" s="114">
        <v>223</v>
      </c>
      <c r="I50" s="114">
        <v>43443</v>
      </c>
      <c r="J50" s="114">
        <v>41005</v>
      </c>
      <c r="K50" s="114">
        <v>191</v>
      </c>
      <c r="L50" s="45" t="s">
        <v>19</v>
      </c>
      <c r="M50" s="45" t="s">
        <v>337</v>
      </c>
      <c r="N50" s="45" t="s">
        <v>16</v>
      </c>
      <c r="O50" s="84">
        <v>0.1087862256289851</v>
      </c>
    </row>
    <row r="51" spans="1:15" x14ac:dyDescent="0.3">
      <c r="A51" s="41" t="s">
        <v>84</v>
      </c>
      <c r="B51" s="42" t="s">
        <v>22</v>
      </c>
      <c r="C51" s="43">
        <v>45769</v>
      </c>
      <c r="D51" s="42" t="s">
        <v>14</v>
      </c>
      <c r="E51" s="42" t="s">
        <v>15</v>
      </c>
      <c r="F51" s="113">
        <v>4401</v>
      </c>
      <c r="G51" s="113">
        <v>421</v>
      </c>
      <c r="H51" s="113">
        <v>216</v>
      </c>
      <c r="I51" s="113">
        <v>24890</v>
      </c>
      <c r="J51" s="113">
        <v>54361</v>
      </c>
      <c r="K51" s="113">
        <v>148</v>
      </c>
      <c r="L51" s="42" t="s">
        <v>37</v>
      </c>
      <c r="M51" s="42"/>
      <c r="N51" s="42" t="s">
        <v>16</v>
      </c>
      <c r="O51" s="83">
        <v>0.20241060666934513</v>
      </c>
    </row>
    <row r="52" spans="1:15" x14ac:dyDescent="0.3">
      <c r="A52" s="44" t="s">
        <v>85</v>
      </c>
      <c r="B52" s="45" t="s">
        <v>28</v>
      </c>
      <c r="C52" s="46">
        <v>45425</v>
      </c>
      <c r="D52" s="45" t="s">
        <v>52</v>
      </c>
      <c r="E52" s="45" t="s">
        <v>18</v>
      </c>
      <c r="F52" s="114">
        <v>4161</v>
      </c>
      <c r="G52" s="114">
        <v>481</v>
      </c>
      <c r="H52" s="114">
        <v>61</v>
      </c>
      <c r="I52" s="114">
        <v>45884</v>
      </c>
      <c r="J52" s="114">
        <v>48955</v>
      </c>
      <c r="K52" s="114">
        <v>215</v>
      </c>
      <c r="L52" s="45" t="s">
        <v>19</v>
      </c>
      <c r="M52" s="45" t="s">
        <v>40</v>
      </c>
      <c r="N52" s="45" t="s">
        <v>53</v>
      </c>
      <c r="O52" s="84">
        <v>0.10249760265016128</v>
      </c>
    </row>
    <row r="53" spans="1:15" x14ac:dyDescent="0.3">
      <c r="A53" s="44" t="s">
        <v>86</v>
      </c>
      <c r="B53" s="45" t="s">
        <v>22</v>
      </c>
      <c r="C53" s="46">
        <v>45539</v>
      </c>
      <c r="D53" s="45" t="s">
        <v>23</v>
      </c>
      <c r="E53" s="45" t="s">
        <v>24</v>
      </c>
      <c r="F53" s="114">
        <v>2613</v>
      </c>
      <c r="G53" s="114">
        <v>455</v>
      </c>
      <c r="H53" s="114">
        <v>228</v>
      </c>
      <c r="I53" s="114">
        <v>21645</v>
      </c>
      <c r="J53" s="114">
        <v>61334</v>
      </c>
      <c r="K53" s="114">
        <v>261</v>
      </c>
      <c r="L53" s="45" t="s">
        <v>19</v>
      </c>
      <c r="M53" s="45" t="s">
        <v>337</v>
      </c>
      <c r="N53" s="45" t="s">
        <v>16</v>
      </c>
      <c r="O53" s="84">
        <v>0.15227535227535227</v>
      </c>
    </row>
    <row r="54" spans="1:15" x14ac:dyDescent="0.3">
      <c r="A54" s="44" t="s">
        <v>87</v>
      </c>
      <c r="B54" s="45" t="s">
        <v>22</v>
      </c>
      <c r="C54" s="46">
        <v>45516</v>
      </c>
      <c r="D54" s="45" t="s">
        <v>23</v>
      </c>
      <c r="E54" s="45" t="s">
        <v>31</v>
      </c>
      <c r="F54" s="114">
        <v>2842</v>
      </c>
      <c r="G54" s="114">
        <v>213</v>
      </c>
      <c r="H54" s="114">
        <v>331</v>
      </c>
      <c r="I54" s="114">
        <v>57660</v>
      </c>
      <c r="J54" s="114">
        <v>68606</v>
      </c>
      <c r="K54" s="114">
        <v>87</v>
      </c>
      <c r="L54" s="45" t="s">
        <v>337</v>
      </c>
      <c r="M54" s="45" t="s">
        <v>37</v>
      </c>
      <c r="N54" s="45" t="s">
        <v>16</v>
      </c>
      <c r="O54" s="84">
        <v>5.8723551855705859E-2</v>
      </c>
    </row>
    <row r="55" spans="1:15" x14ac:dyDescent="0.3">
      <c r="A55" s="41" t="s">
        <v>88</v>
      </c>
      <c r="B55" s="42" t="s">
        <v>13</v>
      </c>
      <c r="C55" s="43">
        <v>45722</v>
      </c>
      <c r="D55" s="42" t="s">
        <v>14</v>
      </c>
      <c r="E55" s="42" t="s">
        <v>33</v>
      </c>
      <c r="F55" s="113">
        <v>4851</v>
      </c>
      <c r="G55" s="113">
        <v>460</v>
      </c>
      <c r="H55" s="113">
        <v>212</v>
      </c>
      <c r="I55" s="113">
        <v>58075</v>
      </c>
      <c r="J55" s="113">
        <v>59574</v>
      </c>
      <c r="K55" s="113">
        <v>239</v>
      </c>
      <c r="L55" s="42" t="s">
        <v>19</v>
      </c>
      <c r="M55" s="42"/>
      <c r="N55" s="42" t="s">
        <v>20</v>
      </c>
      <c r="O55" s="83">
        <v>9.5101162290142052E-2</v>
      </c>
    </row>
    <row r="56" spans="1:15" x14ac:dyDescent="0.3">
      <c r="A56" s="41" t="s">
        <v>89</v>
      </c>
      <c r="B56" s="42" t="s">
        <v>22</v>
      </c>
      <c r="C56" s="43">
        <v>45420</v>
      </c>
      <c r="D56" s="42" t="s">
        <v>14</v>
      </c>
      <c r="E56" s="42" t="s">
        <v>18</v>
      </c>
      <c r="F56" s="113">
        <v>1828</v>
      </c>
      <c r="G56" s="113">
        <v>450</v>
      </c>
      <c r="H56" s="113">
        <v>214</v>
      </c>
      <c r="I56" s="113">
        <v>52115</v>
      </c>
      <c r="J56" s="113">
        <v>19166</v>
      </c>
      <c r="K56" s="113">
        <v>190</v>
      </c>
      <c r="L56" s="42" t="s">
        <v>37</v>
      </c>
      <c r="M56" s="42"/>
      <c r="N56" s="42" t="s">
        <v>16</v>
      </c>
      <c r="O56" s="83">
        <v>4.781732706514439E-2</v>
      </c>
    </row>
    <row r="57" spans="1:15" x14ac:dyDescent="0.3">
      <c r="A57" s="44" t="s">
        <v>90</v>
      </c>
      <c r="B57" s="45" t="s">
        <v>13</v>
      </c>
      <c r="C57" s="46">
        <v>45707</v>
      </c>
      <c r="D57" s="45" t="s">
        <v>23</v>
      </c>
      <c r="E57" s="45" t="s">
        <v>44</v>
      </c>
      <c r="F57" s="114">
        <v>2422</v>
      </c>
      <c r="G57" s="114">
        <v>455</v>
      </c>
      <c r="H57" s="114">
        <v>376</v>
      </c>
      <c r="I57" s="114">
        <v>23428</v>
      </c>
      <c r="J57" s="114">
        <v>46775</v>
      </c>
      <c r="K57" s="114">
        <v>259</v>
      </c>
      <c r="L57" s="45" t="s">
        <v>37</v>
      </c>
      <c r="M57" s="45"/>
      <c r="N57" s="45" t="s">
        <v>50</v>
      </c>
      <c r="O57" s="84">
        <v>0.13885094758408742</v>
      </c>
    </row>
    <row r="58" spans="1:15" x14ac:dyDescent="0.3">
      <c r="A58" s="41" t="s">
        <v>91</v>
      </c>
      <c r="B58" s="42" t="s">
        <v>13</v>
      </c>
      <c r="C58" s="43">
        <v>45299</v>
      </c>
      <c r="D58" s="42" t="s">
        <v>14</v>
      </c>
      <c r="E58" s="42" t="s">
        <v>36</v>
      </c>
      <c r="F58" s="113">
        <v>2683</v>
      </c>
      <c r="G58" s="113">
        <v>405</v>
      </c>
      <c r="H58" s="113">
        <v>223</v>
      </c>
      <c r="I58" s="113">
        <v>31233</v>
      </c>
      <c r="J58" s="113">
        <v>58106</v>
      </c>
      <c r="K58" s="113">
        <v>291</v>
      </c>
      <c r="L58" s="42" t="s">
        <v>19</v>
      </c>
      <c r="M58" s="42"/>
      <c r="N58" s="42" t="s">
        <v>20</v>
      </c>
      <c r="O58" s="83">
        <v>0.10600966926007749</v>
      </c>
    </row>
    <row r="59" spans="1:15" x14ac:dyDescent="0.3">
      <c r="A59" s="41" t="s">
        <v>92</v>
      </c>
      <c r="B59" s="42" t="s">
        <v>28</v>
      </c>
      <c r="C59" s="43">
        <v>45490</v>
      </c>
      <c r="D59" s="42" t="s">
        <v>14</v>
      </c>
      <c r="E59" s="42" t="s">
        <v>36</v>
      </c>
      <c r="F59" s="113">
        <v>3135</v>
      </c>
      <c r="G59" s="113">
        <v>110</v>
      </c>
      <c r="H59" s="113">
        <v>215</v>
      </c>
      <c r="I59" s="113">
        <v>39192</v>
      </c>
      <c r="J59" s="113">
        <v>24744</v>
      </c>
      <c r="K59" s="113">
        <v>177</v>
      </c>
      <c r="L59" s="42" t="s">
        <v>19</v>
      </c>
      <c r="M59" s="42" t="s">
        <v>338</v>
      </c>
      <c r="N59" s="42" t="s">
        <v>20</v>
      </c>
      <c r="O59" s="83">
        <v>8.8283323127168814E-2</v>
      </c>
    </row>
    <row r="60" spans="1:15" x14ac:dyDescent="0.3">
      <c r="A60" s="44" t="s">
        <v>93</v>
      </c>
      <c r="B60" s="45" t="s">
        <v>28</v>
      </c>
      <c r="C60" s="46">
        <v>45514</v>
      </c>
      <c r="D60" s="45" t="s">
        <v>14</v>
      </c>
      <c r="E60" s="45" t="s">
        <v>44</v>
      </c>
      <c r="F60" s="114">
        <v>1105</v>
      </c>
      <c r="G60" s="114">
        <v>181</v>
      </c>
      <c r="H60" s="114">
        <v>55</v>
      </c>
      <c r="I60" s="114">
        <v>53581</v>
      </c>
      <c r="J60" s="114">
        <v>74048</v>
      </c>
      <c r="K60" s="114">
        <v>220</v>
      </c>
      <c r="L60" s="45" t="s">
        <v>19</v>
      </c>
      <c r="M60" s="45" t="s">
        <v>338</v>
      </c>
      <c r="N60" s="45" t="s">
        <v>20</v>
      </c>
      <c r="O60" s="84">
        <v>2.50275284149232E-2</v>
      </c>
    </row>
    <row r="61" spans="1:15" x14ac:dyDescent="0.3">
      <c r="A61" s="41" t="s">
        <v>94</v>
      </c>
      <c r="B61" s="42" t="s">
        <v>28</v>
      </c>
      <c r="C61" s="43">
        <v>45398</v>
      </c>
      <c r="D61" s="42" t="s">
        <v>14</v>
      </c>
      <c r="E61" s="42" t="s">
        <v>15</v>
      </c>
      <c r="F61" s="113">
        <v>4674</v>
      </c>
      <c r="G61" s="113">
        <v>326</v>
      </c>
      <c r="H61" s="113">
        <v>62</v>
      </c>
      <c r="I61" s="113">
        <v>45503</v>
      </c>
      <c r="J61" s="113">
        <v>46814</v>
      </c>
      <c r="K61" s="113">
        <v>116</v>
      </c>
      <c r="L61" s="42" t="s">
        <v>19</v>
      </c>
      <c r="M61" s="42" t="s">
        <v>338</v>
      </c>
      <c r="N61" s="42" t="s">
        <v>20</v>
      </c>
      <c r="O61" s="83">
        <v>0.11124541239039185</v>
      </c>
    </row>
    <row r="62" spans="1:15" x14ac:dyDescent="0.3">
      <c r="A62" s="41" t="s">
        <v>95</v>
      </c>
      <c r="B62" s="42" t="s">
        <v>28</v>
      </c>
      <c r="C62" s="43">
        <v>45292</v>
      </c>
      <c r="D62" s="42" t="s">
        <v>52</v>
      </c>
      <c r="E62" s="42" t="s">
        <v>18</v>
      </c>
      <c r="F62" s="113">
        <v>3437</v>
      </c>
      <c r="G62" s="113">
        <v>129</v>
      </c>
      <c r="H62" s="113">
        <v>359</v>
      </c>
      <c r="I62" s="113">
        <v>44558</v>
      </c>
      <c r="J62" s="113">
        <v>30854</v>
      </c>
      <c r="K62" s="113">
        <v>171</v>
      </c>
      <c r="L62" s="42" t="s">
        <v>19</v>
      </c>
      <c r="M62" s="42" t="s">
        <v>40</v>
      </c>
      <c r="N62" s="42" t="s">
        <v>53</v>
      </c>
      <c r="O62" s="83">
        <v>8.8087436599488311E-2</v>
      </c>
    </row>
    <row r="63" spans="1:15" x14ac:dyDescent="0.3">
      <c r="A63" s="44" t="s">
        <v>96</v>
      </c>
      <c r="B63" s="45" t="s">
        <v>22</v>
      </c>
      <c r="C63" s="46">
        <v>45599</v>
      </c>
      <c r="D63" s="45" t="s">
        <v>23</v>
      </c>
      <c r="E63" s="45" t="s">
        <v>26</v>
      </c>
      <c r="F63" s="114">
        <v>1959</v>
      </c>
      <c r="G63" s="114">
        <v>316</v>
      </c>
      <c r="H63" s="114">
        <v>82</v>
      </c>
      <c r="I63" s="114">
        <v>54036</v>
      </c>
      <c r="J63" s="114">
        <v>69015</v>
      </c>
      <c r="K63" s="114">
        <v>182</v>
      </c>
      <c r="L63" s="45" t="s">
        <v>337</v>
      </c>
      <c r="M63" s="45" t="s">
        <v>37</v>
      </c>
      <c r="N63" s="45" t="s">
        <v>16</v>
      </c>
      <c r="O63" s="84">
        <v>4.3619068768968837E-2</v>
      </c>
    </row>
    <row r="64" spans="1:15" x14ac:dyDescent="0.3">
      <c r="A64" s="44" t="s">
        <v>97</v>
      </c>
      <c r="B64" s="45" t="s">
        <v>22</v>
      </c>
      <c r="C64" s="46">
        <v>45480</v>
      </c>
      <c r="D64" s="45" t="s">
        <v>14</v>
      </c>
      <c r="E64" s="45" t="s">
        <v>24</v>
      </c>
      <c r="F64" s="114">
        <v>1035</v>
      </c>
      <c r="G64" s="114">
        <v>137</v>
      </c>
      <c r="H64" s="114">
        <v>184</v>
      </c>
      <c r="I64" s="114">
        <v>37302</v>
      </c>
      <c r="J64" s="114">
        <v>68953</v>
      </c>
      <c r="K64" s="114">
        <v>237</v>
      </c>
      <c r="L64" s="45" t="s">
        <v>40</v>
      </c>
      <c r="M64" s="45"/>
      <c r="N64" s="45" t="s">
        <v>20</v>
      </c>
      <c r="O64" s="84">
        <v>3.6351938233874857E-2</v>
      </c>
    </row>
    <row r="65" spans="1:15" x14ac:dyDescent="0.3">
      <c r="A65" s="41" t="s">
        <v>98</v>
      </c>
      <c r="B65" s="42" t="s">
        <v>22</v>
      </c>
      <c r="C65" s="43">
        <v>45679</v>
      </c>
      <c r="D65" s="42" t="s">
        <v>23</v>
      </c>
      <c r="E65" s="42" t="s">
        <v>24</v>
      </c>
      <c r="F65" s="113">
        <v>4478</v>
      </c>
      <c r="G65" s="113">
        <v>101</v>
      </c>
      <c r="H65" s="113">
        <v>121</v>
      </c>
      <c r="I65" s="113">
        <v>51035</v>
      </c>
      <c r="J65" s="113">
        <v>58207</v>
      </c>
      <c r="K65" s="113">
        <v>205</v>
      </c>
      <c r="L65" s="42" t="s">
        <v>337</v>
      </c>
      <c r="M65" s="42" t="s">
        <v>37</v>
      </c>
      <c r="N65" s="42" t="s">
        <v>16</v>
      </c>
      <c r="O65" s="83">
        <v>9.2093661212893113E-2</v>
      </c>
    </row>
    <row r="66" spans="1:15" x14ac:dyDescent="0.3">
      <c r="A66" s="41" t="s">
        <v>99</v>
      </c>
      <c r="B66" s="42" t="s">
        <v>28</v>
      </c>
      <c r="C66" s="43">
        <v>45438</v>
      </c>
      <c r="D66" s="42" t="s">
        <v>14</v>
      </c>
      <c r="E66" s="42" t="s">
        <v>44</v>
      </c>
      <c r="F66" s="113">
        <v>1488</v>
      </c>
      <c r="G66" s="113">
        <v>327</v>
      </c>
      <c r="H66" s="113">
        <v>110</v>
      </c>
      <c r="I66" s="113">
        <v>53805</v>
      </c>
      <c r="J66" s="113">
        <v>30239</v>
      </c>
      <c r="K66" s="113">
        <v>109</v>
      </c>
      <c r="L66" s="42" t="s">
        <v>19</v>
      </c>
      <c r="M66" s="42" t="s">
        <v>338</v>
      </c>
      <c r="N66" s="42" t="s">
        <v>20</v>
      </c>
      <c r="O66" s="83">
        <v>3.5777344113000653E-2</v>
      </c>
    </row>
    <row r="67" spans="1:15" x14ac:dyDescent="0.3">
      <c r="A67" s="44" t="s">
        <v>100</v>
      </c>
      <c r="B67" s="45" t="s">
        <v>13</v>
      </c>
      <c r="C67" s="46">
        <v>45763</v>
      </c>
      <c r="D67" s="45" t="s">
        <v>14</v>
      </c>
      <c r="E67" s="45" t="s">
        <v>26</v>
      </c>
      <c r="F67" s="114">
        <v>4836</v>
      </c>
      <c r="G67" s="114">
        <v>331</v>
      </c>
      <c r="H67" s="114">
        <v>140</v>
      </c>
      <c r="I67" s="114">
        <v>58792</v>
      </c>
      <c r="J67" s="114">
        <v>47711</v>
      </c>
      <c r="K67" s="114">
        <v>227</v>
      </c>
      <c r="L67" s="45" t="s">
        <v>40</v>
      </c>
      <c r="M67" s="45" t="s">
        <v>37</v>
      </c>
      <c r="N67" s="45" t="s">
        <v>16</v>
      </c>
      <c r="O67" s="84">
        <v>9.0267383317458164E-2</v>
      </c>
    </row>
    <row r="68" spans="1:15" x14ac:dyDescent="0.3">
      <c r="A68" s="44" t="s">
        <v>101</v>
      </c>
      <c r="B68" s="45" t="s">
        <v>28</v>
      </c>
      <c r="C68" s="46">
        <v>45384</v>
      </c>
      <c r="D68" s="45" t="s">
        <v>52</v>
      </c>
      <c r="E68" s="45" t="s">
        <v>46</v>
      </c>
      <c r="F68" s="114">
        <v>4563</v>
      </c>
      <c r="G68" s="114">
        <v>488</v>
      </c>
      <c r="H68" s="114">
        <v>356</v>
      </c>
      <c r="I68" s="114">
        <v>30619</v>
      </c>
      <c r="J68" s="114">
        <v>23328</v>
      </c>
      <c r="K68" s="114">
        <v>267</v>
      </c>
      <c r="L68" s="45" t="s">
        <v>19</v>
      </c>
      <c r="M68" s="45" t="s">
        <v>40</v>
      </c>
      <c r="N68" s="45" t="s">
        <v>53</v>
      </c>
      <c r="O68" s="84">
        <v>0.17658969920637513</v>
      </c>
    </row>
    <row r="69" spans="1:15" x14ac:dyDescent="0.3">
      <c r="A69" s="44" t="s">
        <v>102</v>
      </c>
      <c r="B69" s="45" t="s">
        <v>22</v>
      </c>
      <c r="C69" s="46">
        <v>45379</v>
      </c>
      <c r="D69" s="45" t="s">
        <v>14</v>
      </c>
      <c r="E69" s="45" t="s">
        <v>29</v>
      </c>
      <c r="F69" s="114">
        <v>3276</v>
      </c>
      <c r="G69" s="114">
        <v>421</v>
      </c>
      <c r="H69" s="114">
        <v>114</v>
      </c>
      <c r="I69" s="114">
        <v>20580</v>
      </c>
      <c r="J69" s="114">
        <v>30324</v>
      </c>
      <c r="K69" s="114">
        <v>221</v>
      </c>
      <c r="L69" s="45" t="s">
        <v>40</v>
      </c>
      <c r="M69" s="45"/>
      <c r="N69" s="45" t="s">
        <v>20</v>
      </c>
      <c r="O69" s="84">
        <v>0.18517978620019437</v>
      </c>
    </row>
    <row r="70" spans="1:15" x14ac:dyDescent="0.3">
      <c r="A70" s="41" t="s">
        <v>103</v>
      </c>
      <c r="B70" s="42" t="s">
        <v>22</v>
      </c>
      <c r="C70" s="43">
        <v>45643</v>
      </c>
      <c r="D70" s="42" t="s">
        <v>23</v>
      </c>
      <c r="E70" s="42" t="s">
        <v>29</v>
      </c>
      <c r="F70" s="113">
        <v>1316</v>
      </c>
      <c r="G70" s="113">
        <v>472</v>
      </c>
      <c r="H70" s="113">
        <v>286</v>
      </c>
      <c r="I70" s="113">
        <v>44692</v>
      </c>
      <c r="J70" s="113">
        <v>53343</v>
      </c>
      <c r="K70" s="113">
        <v>227</v>
      </c>
      <c r="L70" s="42" t="s">
        <v>19</v>
      </c>
      <c r="M70" s="42" t="s">
        <v>337</v>
      </c>
      <c r="N70" s="42" t="s">
        <v>16</v>
      </c>
      <c r="O70" s="83">
        <v>4.6406515707509172E-2</v>
      </c>
    </row>
    <row r="71" spans="1:15" x14ac:dyDescent="0.3">
      <c r="A71" s="41" t="s">
        <v>104</v>
      </c>
      <c r="B71" s="42" t="s">
        <v>22</v>
      </c>
      <c r="C71" s="43">
        <v>45662</v>
      </c>
      <c r="D71" s="42" t="s">
        <v>14</v>
      </c>
      <c r="E71" s="42" t="s">
        <v>26</v>
      </c>
      <c r="F71" s="113">
        <v>4811</v>
      </c>
      <c r="G71" s="113">
        <v>473</v>
      </c>
      <c r="H71" s="113">
        <v>254</v>
      </c>
      <c r="I71" s="113">
        <v>51964</v>
      </c>
      <c r="J71" s="113">
        <v>68795</v>
      </c>
      <c r="K71" s="113">
        <v>107</v>
      </c>
      <c r="L71" s="42" t="s">
        <v>37</v>
      </c>
      <c r="M71" s="42"/>
      <c r="N71" s="42" t="s">
        <v>16</v>
      </c>
      <c r="O71" s="83">
        <v>0.10657378184897237</v>
      </c>
    </row>
    <row r="72" spans="1:15" x14ac:dyDescent="0.3">
      <c r="A72" s="44" t="s">
        <v>105</v>
      </c>
      <c r="B72" s="45" t="s">
        <v>22</v>
      </c>
      <c r="C72" s="46">
        <v>45302</v>
      </c>
      <c r="D72" s="45" t="s">
        <v>14</v>
      </c>
      <c r="E72" s="45" t="s">
        <v>31</v>
      </c>
      <c r="F72" s="114">
        <v>4218</v>
      </c>
      <c r="G72" s="114">
        <v>247</v>
      </c>
      <c r="H72" s="114">
        <v>183</v>
      </c>
      <c r="I72" s="114">
        <v>28914</v>
      </c>
      <c r="J72" s="114">
        <v>18310</v>
      </c>
      <c r="K72" s="114">
        <v>135</v>
      </c>
      <c r="L72" s="45" t="s">
        <v>40</v>
      </c>
      <c r="M72" s="45"/>
      <c r="N72" s="45" t="s">
        <v>20</v>
      </c>
      <c r="O72" s="84">
        <v>0.1607525766064882</v>
      </c>
    </row>
    <row r="73" spans="1:15" x14ac:dyDescent="0.3">
      <c r="A73" s="41" t="s">
        <v>106</v>
      </c>
      <c r="B73" s="42" t="s">
        <v>13</v>
      </c>
      <c r="C73" s="43">
        <v>45576</v>
      </c>
      <c r="D73" s="42" t="s">
        <v>14</v>
      </c>
      <c r="E73" s="42" t="s">
        <v>44</v>
      </c>
      <c r="F73" s="113">
        <v>1360</v>
      </c>
      <c r="G73" s="113">
        <v>249</v>
      </c>
      <c r="H73" s="113">
        <v>52</v>
      </c>
      <c r="I73" s="113">
        <v>20368</v>
      </c>
      <c r="J73" s="113">
        <v>42152</v>
      </c>
      <c r="K73" s="113">
        <v>193</v>
      </c>
      <c r="L73" s="42" t="s">
        <v>19</v>
      </c>
      <c r="M73" s="42"/>
      <c r="N73" s="42" t="s">
        <v>20</v>
      </c>
      <c r="O73" s="83">
        <v>8.1549489395129612E-2</v>
      </c>
    </row>
    <row r="74" spans="1:15" x14ac:dyDescent="0.3">
      <c r="A74" s="41" t="s">
        <v>107</v>
      </c>
      <c r="B74" s="42" t="s">
        <v>28</v>
      </c>
      <c r="C74" s="43">
        <v>45783</v>
      </c>
      <c r="D74" s="42" t="s">
        <v>52</v>
      </c>
      <c r="E74" s="42" t="s">
        <v>15</v>
      </c>
      <c r="F74" s="113">
        <v>1085</v>
      </c>
      <c r="G74" s="113">
        <v>496</v>
      </c>
      <c r="H74" s="113">
        <v>320</v>
      </c>
      <c r="I74" s="113">
        <v>36528</v>
      </c>
      <c r="J74" s="113">
        <v>38599</v>
      </c>
      <c r="K74" s="113">
        <v>270</v>
      </c>
      <c r="L74" s="42" t="s">
        <v>19</v>
      </c>
      <c r="M74" s="42" t="s">
        <v>40</v>
      </c>
      <c r="N74" s="42" t="s">
        <v>53</v>
      </c>
      <c r="O74" s="83">
        <v>5.2042268944371438E-2</v>
      </c>
    </row>
    <row r="75" spans="1:15" x14ac:dyDescent="0.3">
      <c r="A75" s="44" t="s">
        <v>108</v>
      </c>
      <c r="B75" s="45" t="s">
        <v>22</v>
      </c>
      <c r="C75" s="46">
        <v>45431</v>
      </c>
      <c r="D75" s="45" t="s">
        <v>23</v>
      </c>
      <c r="E75" s="45" t="s">
        <v>33</v>
      </c>
      <c r="F75" s="114">
        <v>1763</v>
      </c>
      <c r="G75" s="114">
        <v>206</v>
      </c>
      <c r="H75" s="114">
        <v>187</v>
      </c>
      <c r="I75" s="114">
        <v>53342</v>
      </c>
      <c r="J75" s="114">
        <v>25095</v>
      </c>
      <c r="K75" s="114">
        <v>88</v>
      </c>
      <c r="L75" s="45" t="s">
        <v>19</v>
      </c>
      <c r="M75" s="45" t="s">
        <v>337</v>
      </c>
      <c r="N75" s="45" t="s">
        <v>16</v>
      </c>
      <c r="O75" s="84">
        <v>4.0418432004799221E-2</v>
      </c>
    </row>
    <row r="76" spans="1:15" x14ac:dyDescent="0.3">
      <c r="A76" s="44" t="s">
        <v>109</v>
      </c>
      <c r="B76" s="45" t="s">
        <v>22</v>
      </c>
      <c r="C76" s="46">
        <v>45313</v>
      </c>
      <c r="D76" s="45" t="s">
        <v>23</v>
      </c>
      <c r="E76" s="45" t="s">
        <v>44</v>
      </c>
      <c r="F76" s="114">
        <v>1554</v>
      </c>
      <c r="G76" s="114">
        <v>455</v>
      </c>
      <c r="H76" s="114">
        <v>158</v>
      </c>
      <c r="I76" s="114">
        <v>41947</v>
      </c>
      <c r="J76" s="114">
        <v>48578</v>
      </c>
      <c r="K76" s="114">
        <v>101</v>
      </c>
      <c r="L76" s="45" t="s">
        <v>40</v>
      </c>
      <c r="M76" s="45" t="s">
        <v>37</v>
      </c>
      <c r="N76" s="45" t="s">
        <v>16</v>
      </c>
      <c r="O76" s="84">
        <v>5.1660428636136076E-2</v>
      </c>
    </row>
    <row r="77" spans="1:15" x14ac:dyDescent="0.3">
      <c r="A77" s="44" t="s">
        <v>110</v>
      </c>
      <c r="B77" s="45" t="s">
        <v>13</v>
      </c>
      <c r="C77" s="46">
        <v>45487</v>
      </c>
      <c r="D77" s="45" t="s">
        <v>14</v>
      </c>
      <c r="E77" s="45" t="s">
        <v>26</v>
      </c>
      <c r="F77" s="114">
        <v>2464</v>
      </c>
      <c r="G77" s="114">
        <v>401</v>
      </c>
      <c r="H77" s="114">
        <v>78</v>
      </c>
      <c r="I77" s="114">
        <v>38665</v>
      </c>
      <c r="J77" s="114">
        <v>73593</v>
      </c>
      <c r="K77" s="114">
        <v>207</v>
      </c>
      <c r="L77" s="45" t="s">
        <v>19</v>
      </c>
      <c r="M77" s="45"/>
      <c r="N77" s="45" t="s">
        <v>20</v>
      </c>
      <c r="O77" s="84">
        <v>7.611534979956032E-2</v>
      </c>
    </row>
    <row r="78" spans="1:15" x14ac:dyDescent="0.3">
      <c r="A78" s="44" t="s">
        <v>111</v>
      </c>
      <c r="B78" s="45" t="s">
        <v>22</v>
      </c>
      <c r="C78" s="46">
        <v>45805</v>
      </c>
      <c r="D78" s="45" t="s">
        <v>14</v>
      </c>
      <c r="E78" s="45" t="s">
        <v>44</v>
      </c>
      <c r="F78" s="114">
        <v>2418</v>
      </c>
      <c r="G78" s="114">
        <v>161</v>
      </c>
      <c r="H78" s="114">
        <v>360</v>
      </c>
      <c r="I78" s="114">
        <v>30589</v>
      </c>
      <c r="J78" s="114">
        <v>41383</v>
      </c>
      <c r="K78" s="114">
        <v>88</v>
      </c>
      <c r="L78" s="45" t="s">
        <v>37</v>
      </c>
      <c r="M78" s="45"/>
      <c r="N78" s="45" t="s">
        <v>16</v>
      </c>
      <c r="O78" s="84">
        <v>9.6080290300434801E-2</v>
      </c>
    </row>
    <row r="79" spans="1:15" x14ac:dyDescent="0.3">
      <c r="A79" s="41" t="s">
        <v>112</v>
      </c>
      <c r="B79" s="42" t="s">
        <v>22</v>
      </c>
      <c r="C79" s="43">
        <v>45678</v>
      </c>
      <c r="D79" s="42" t="s">
        <v>23</v>
      </c>
      <c r="E79" s="42" t="s">
        <v>15</v>
      </c>
      <c r="F79" s="113">
        <v>2494</v>
      </c>
      <c r="G79" s="113">
        <v>494</v>
      </c>
      <c r="H79" s="113">
        <v>55</v>
      </c>
      <c r="I79" s="113">
        <v>22580</v>
      </c>
      <c r="J79" s="113">
        <v>22214</v>
      </c>
      <c r="K79" s="113">
        <v>109</v>
      </c>
      <c r="L79" s="42" t="s">
        <v>337</v>
      </c>
      <c r="M79" s="42" t="s">
        <v>37</v>
      </c>
      <c r="N79" s="42" t="s">
        <v>16</v>
      </c>
      <c r="O79" s="83">
        <v>0.13476527900797167</v>
      </c>
    </row>
    <row r="80" spans="1:15" x14ac:dyDescent="0.3">
      <c r="A80" s="44" t="s">
        <v>113</v>
      </c>
      <c r="B80" s="45" t="s">
        <v>28</v>
      </c>
      <c r="C80" s="46">
        <v>45304</v>
      </c>
      <c r="D80" s="45" t="s">
        <v>52</v>
      </c>
      <c r="E80" s="45" t="s">
        <v>24</v>
      </c>
      <c r="F80" s="114">
        <v>4781</v>
      </c>
      <c r="G80" s="114">
        <v>191</v>
      </c>
      <c r="H80" s="114">
        <v>122</v>
      </c>
      <c r="I80" s="114">
        <v>35535</v>
      </c>
      <c r="J80" s="114">
        <v>50777</v>
      </c>
      <c r="K80" s="114">
        <v>128</v>
      </c>
      <c r="L80" s="45" t="s">
        <v>19</v>
      </c>
      <c r="M80" s="45" t="s">
        <v>40</v>
      </c>
      <c r="N80" s="45" t="s">
        <v>53</v>
      </c>
      <c r="O80" s="84">
        <v>0.14335162515829464</v>
      </c>
    </row>
    <row r="81" spans="1:15" x14ac:dyDescent="0.3">
      <c r="A81" s="44" t="s">
        <v>114</v>
      </c>
      <c r="B81" s="45" t="s">
        <v>13</v>
      </c>
      <c r="C81" s="46">
        <v>45825</v>
      </c>
      <c r="D81" s="45" t="s">
        <v>14</v>
      </c>
      <c r="E81" s="45" t="s">
        <v>29</v>
      </c>
      <c r="F81" s="114">
        <v>2284</v>
      </c>
      <c r="G81" s="114">
        <v>187</v>
      </c>
      <c r="H81" s="114">
        <v>260</v>
      </c>
      <c r="I81" s="114">
        <v>37400</v>
      </c>
      <c r="J81" s="114">
        <v>65014</v>
      </c>
      <c r="K81" s="114">
        <v>157</v>
      </c>
      <c r="L81" s="45" t="s">
        <v>40</v>
      </c>
      <c r="M81" s="45" t="s">
        <v>37</v>
      </c>
      <c r="N81" s="45" t="s">
        <v>16</v>
      </c>
      <c r="O81" s="84">
        <v>7.3021390374331557E-2</v>
      </c>
    </row>
    <row r="82" spans="1:15" x14ac:dyDescent="0.3">
      <c r="A82" s="44" t="s">
        <v>115</v>
      </c>
      <c r="B82" s="45" t="s">
        <v>22</v>
      </c>
      <c r="C82" s="46">
        <v>45723</v>
      </c>
      <c r="D82" s="45" t="s">
        <v>14</v>
      </c>
      <c r="E82" s="45" t="s">
        <v>33</v>
      </c>
      <c r="F82" s="114">
        <v>4234</v>
      </c>
      <c r="G82" s="114">
        <v>486</v>
      </c>
      <c r="H82" s="114">
        <v>276</v>
      </c>
      <c r="I82" s="114">
        <v>56623</v>
      </c>
      <c r="J82" s="114">
        <v>41343</v>
      </c>
      <c r="K82" s="114">
        <v>184</v>
      </c>
      <c r="L82" s="45" t="s">
        <v>40</v>
      </c>
      <c r="M82" s="45"/>
      <c r="N82" s="45" t="s">
        <v>20</v>
      </c>
      <c r="O82" s="84">
        <v>8.8232696960599044E-2</v>
      </c>
    </row>
    <row r="83" spans="1:15" x14ac:dyDescent="0.3">
      <c r="A83" s="44" t="s">
        <v>116</v>
      </c>
      <c r="B83" s="45" t="s">
        <v>13</v>
      </c>
      <c r="C83" s="46">
        <v>45530</v>
      </c>
      <c r="D83" s="45" t="s">
        <v>14</v>
      </c>
      <c r="E83" s="45" t="s">
        <v>46</v>
      </c>
      <c r="F83" s="114">
        <v>2102</v>
      </c>
      <c r="G83" s="114">
        <v>181</v>
      </c>
      <c r="H83" s="114">
        <v>306</v>
      </c>
      <c r="I83" s="114">
        <v>43650</v>
      </c>
      <c r="J83" s="114">
        <v>50079</v>
      </c>
      <c r="K83" s="114">
        <v>182</v>
      </c>
      <c r="L83" s="45" t="s">
        <v>19</v>
      </c>
      <c r="M83" s="45"/>
      <c r="N83" s="45" t="s">
        <v>20</v>
      </c>
      <c r="O83" s="84">
        <v>5.9312714776632303E-2</v>
      </c>
    </row>
    <row r="84" spans="1:15" x14ac:dyDescent="0.3">
      <c r="A84" s="44" t="s">
        <v>117</v>
      </c>
      <c r="B84" s="45" t="s">
        <v>22</v>
      </c>
      <c r="C84" s="46">
        <v>45660</v>
      </c>
      <c r="D84" s="45" t="s">
        <v>23</v>
      </c>
      <c r="E84" s="45" t="s">
        <v>33</v>
      </c>
      <c r="F84" s="114">
        <v>4845</v>
      </c>
      <c r="G84" s="114">
        <v>158</v>
      </c>
      <c r="H84" s="114">
        <v>84</v>
      </c>
      <c r="I84" s="114">
        <v>34578</v>
      </c>
      <c r="J84" s="114">
        <v>51480</v>
      </c>
      <c r="K84" s="114">
        <v>180</v>
      </c>
      <c r="L84" s="45" t="s">
        <v>40</v>
      </c>
      <c r="M84" s="45" t="s">
        <v>37</v>
      </c>
      <c r="N84" s="45" t="s">
        <v>16</v>
      </c>
      <c r="O84" s="84">
        <v>0.1471166637746544</v>
      </c>
    </row>
    <row r="85" spans="1:15" x14ac:dyDescent="0.3">
      <c r="A85" s="44" t="s">
        <v>118</v>
      </c>
      <c r="B85" s="45" t="s">
        <v>22</v>
      </c>
      <c r="C85" s="46">
        <v>45507</v>
      </c>
      <c r="D85" s="45" t="s">
        <v>14</v>
      </c>
      <c r="E85" s="45" t="s">
        <v>46</v>
      </c>
      <c r="F85" s="114">
        <v>4247</v>
      </c>
      <c r="G85" s="114">
        <v>390</v>
      </c>
      <c r="H85" s="114">
        <v>213</v>
      </c>
      <c r="I85" s="114">
        <v>29785</v>
      </c>
      <c r="J85" s="114">
        <v>57768</v>
      </c>
      <c r="K85" s="114">
        <v>122</v>
      </c>
      <c r="L85" s="45" t="s">
        <v>37</v>
      </c>
      <c r="M85" s="45"/>
      <c r="N85" s="45" t="s">
        <v>16</v>
      </c>
      <c r="O85" s="84">
        <v>0.16283364109451065</v>
      </c>
    </row>
    <row r="86" spans="1:15" x14ac:dyDescent="0.3">
      <c r="A86" s="41" t="s">
        <v>119</v>
      </c>
      <c r="B86" s="42" t="s">
        <v>13</v>
      </c>
      <c r="C86" s="43">
        <v>45522</v>
      </c>
      <c r="D86" s="42" t="s">
        <v>14</v>
      </c>
      <c r="E86" s="42" t="s">
        <v>18</v>
      </c>
      <c r="F86" s="113">
        <v>2965</v>
      </c>
      <c r="G86" s="113">
        <v>328</v>
      </c>
      <c r="H86" s="113">
        <v>171</v>
      </c>
      <c r="I86" s="113">
        <v>57685</v>
      </c>
      <c r="J86" s="113">
        <v>67536</v>
      </c>
      <c r="K86" s="113">
        <v>264</v>
      </c>
      <c r="L86" s="42" t="s">
        <v>40</v>
      </c>
      <c r="M86" s="42" t="s">
        <v>37</v>
      </c>
      <c r="N86" s="42" t="s">
        <v>16</v>
      </c>
      <c r="O86" s="83">
        <v>6.0050273034584378E-2</v>
      </c>
    </row>
    <row r="87" spans="1:15" x14ac:dyDescent="0.3">
      <c r="A87" s="41" t="s">
        <v>120</v>
      </c>
      <c r="B87" s="42" t="s">
        <v>22</v>
      </c>
      <c r="C87" s="43">
        <v>45791</v>
      </c>
      <c r="D87" s="42" t="s">
        <v>23</v>
      </c>
      <c r="E87" s="42" t="s">
        <v>26</v>
      </c>
      <c r="F87" s="113">
        <v>1371</v>
      </c>
      <c r="G87" s="113">
        <v>139</v>
      </c>
      <c r="H87" s="113">
        <v>96</v>
      </c>
      <c r="I87" s="113">
        <v>36140</v>
      </c>
      <c r="J87" s="113">
        <v>39395</v>
      </c>
      <c r="K87" s="113">
        <v>169</v>
      </c>
      <c r="L87" s="42" t="s">
        <v>40</v>
      </c>
      <c r="M87" s="42" t="s">
        <v>37</v>
      </c>
      <c r="N87" s="42" t="s">
        <v>16</v>
      </c>
      <c r="O87" s="83">
        <v>4.4438295517432211E-2</v>
      </c>
    </row>
    <row r="88" spans="1:15" x14ac:dyDescent="0.3">
      <c r="A88" s="44" t="s">
        <v>121</v>
      </c>
      <c r="B88" s="45" t="s">
        <v>22</v>
      </c>
      <c r="C88" s="46">
        <v>45405</v>
      </c>
      <c r="D88" s="45" t="s">
        <v>23</v>
      </c>
      <c r="E88" s="45" t="s">
        <v>15</v>
      </c>
      <c r="F88" s="114">
        <v>2683</v>
      </c>
      <c r="G88" s="114">
        <v>496</v>
      </c>
      <c r="H88" s="114">
        <v>89</v>
      </c>
      <c r="I88" s="114">
        <v>53435</v>
      </c>
      <c r="J88" s="114">
        <v>30334</v>
      </c>
      <c r="K88" s="114">
        <v>160</v>
      </c>
      <c r="L88" s="45" t="s">
        <v>40</v>
      </c>
      <c r="M88" s="45" t="s">
        <v>37</v>
      </c>
      <c r="N88" s="45" t="s">
        <v>16</v>
      </c>
      <c r="O88" s="84">
        <v>6.1158416768035934E-2</v>
      </c>
    </row>
    <row r="89" spans="1:15" x14ac:dyDescent="0.3">
      <c r="A89" s="41" t="s">
        <v>122</v>
      </c>
      <c r="B89" s="42" t="s">
        <v>22</v>
      </c>
      <c r="C89" s="43">
        <v>45705</v>
      </c>
      <c r="D89" s="42" t="s">
        <v>23</v>
      </c>
      <c r="E89" s="42" t="s">
        <v>31</v>
      </c>
      <c r="F89" s="113">
        <v>4796</v>
      </c>
      <c r="G89" s="113">
        <v>427</v>
      </c>
      <c r="H89" s="113">
        <v>339</v>
      </c>
      <c r="I89" s="113">
        <v>30752</v>
      </c>
      <c r="J89" s="113">
        <v>33870</v>
      </c>
      <c r="K89" s="113">
        <v>298</v>
      </c>
      <c r="L89" s="42" t="s">
        <v>40</v>
      </c>
      <c r="M89" s="42" t="s">
        <v>37</v>
      </c>
      <c r="N89" s="42" t="s">
        <v>16</v>
      </c>
      <c r="O89" s="83">
        <v>0.18086628511966701</v>
      </c>
    </row>
    <row r="90" spans="1:15" x14ac:dyDescent="0.3">
      <c r="A90" s="41" t="s">
        <v>123</v>
      </c>
      <c r="B90" s="42" t="s">
        <v>13</v>
      </c>
      <c r="C90" s="43">
        <v>45630</v>
      </c>
      <c r="D90" s="42" t="s">
        <v>14</v>
      </c>
      <c r="E90" s="42" t="s">
        <v>26</v>
      </c>
      <c r="F90" s="113">
        <v>2601</v>
      </c>
      <c r="G90" s="113">
        <v>336</v>
      </c>
      <c r="H90" s="113">
        <v>260</v>
      </c>
      <c r="I90" s="113">
        <v>32368</v>
      </c>
      <c r="J90" s="113">
        <v>49028</v>
      </c>
      <c r="K90" s="113">
        <v>120</v>
      </c>
      <c r="L90" s="42" t="s">
        <v>40</v>
      </c>
      <c r="M90" s="42" t="s">
        <v>37</v>
      </c>
      <c r="N90" s="42" t="s">
        <v>16</v>
      </c>
      <c r="O90" s="83">
        <v>9.8770390509144837E-2</v>
      </c>
    </row>
    <row r="91" spans="1:15" x14ac:dyDescent="0.3">
      <c r="A91" s="41" t="s">
        <v>124</v>
      </c>
      <c r="B91" s="42" t="s">
        <v>22</v>
      </c>
      <c r="C91" s="43">
        <v>45495</v>
      </c>
      <c r="D91" s="42" t="s">
        <v>23</v>
      </c>
      <c r="E91" s="42" t="s">
        <v>26</v>
      </c>
      <c r="F91" s="113">
        <v>3336</v>
      </c>
      <c r="G91" s="113">
        <v>229</v>
      </c>
      <c r="H91" s="113">
        <v>337</v>
      </c>
      <c r="I91" s="113">
        <v>22117</v>
      </c>
      <c r="J91" s="113">
        <v>26205</v>
      </c>
      <c r="K91" s="113">
        <v>160</v>
      </c>
      <c r="L91" s="42" t="s">
        <v>337</v>
      </c>
      <c r="M91" s="42" t="s">
        <v>37</v>
      </c>
      <c r="N91" s="42" t="s">
        <v>16</v>
      </c>
      <c r="O91" s="83">
        <v>0.17642537414658407</v>
      </c>
    </row>
    <row r="92" spans="1:15" x14ac:dyDescent="0.3">
      <c r="A92" s="44" t="s">
        <v>125</v>
      </c>
      <c r="B92" s="45" t="s">
        <v>22</v>
      </c>
      <c r="C92" s="46">
        <v>45774</v>
      </c>
      <c r="D92" s="45" t="s">
        <v>14</v>
      </c>
      <c r="E92" s="45" t="s">
        <v>18</v>
      </c>
      <c r="F92" s="114">
        <v>1165</v>
      </c>
      <c r="G92" s="114">
        <v>294</v>
      </c>
      <c r="H92" s="114">
        <v>163</v>
      </c>
      <c r="I92" s="114">
        <v>20659</v>
      </c>
      <c r="J92" s="114">
        <v>45926</v>
      </c>
      <c r="K92" s="114">
        <v>111</v>
      </c>
      <c r="L92" s="45" t="s">
        <v>40</v>
      </c>
      <c r="M92" s="45"/>
      <c r="N92" s="45" t="s">
        <v>20</v>
      </c>
      <c r="O92" s="84">
        <v>7.8512996756861422E-2</v>
      </c>
    </row>
    <row r="93" spans="1:15" x14ac:dyDescent="0.3">
      <c r="A93" s="41" t="s">
        <v>126</v>
      </c>
      <c r="B93" s="42" t="s">
        <v>28</v>
      </c>
      <c r="C93" s="43">
        <v>45376</v>
      </c>
      <c r="D93" s="42" t="s">
        <v>52</v>
      </c>
      <c r="E93" s="42" t="s">
        <v>18</v>
      </c>
      <c r="F93" s="113">
        <v>1948</v>
      </c>
      <c r="G93" s="113">
        <v>155</v>
      </c>
      <c r="H93" s="113">
        <v>315</v>
      </c>
      <c r="I93" s="113">
        <v>30321</v>
      </c>
      <c r="J93" s="113">
        <v>57121</v>
      </c>
      <c r="K93" s="113">
        <v>82</v>
      </c>
      <c r="L93" s="42" t="s">
        <v>19</v>
      </c>
      <c r="M93" s="42" t="s">
        <v>40</v>
      </c>
      <c r="N93" s="42" t="s">
        <v>53</v>
      </c>
      <c r="O93" s="83">
        <v>7.974671020085089E-2</v>
      </c>
    </row>
    <row r="94" spans="1:15" x14ac:dyDescent="0.3">
      <c r="A94" s="44" t="s">
        <v>127</v>
      </c>
      <c r="B94" s="45" t="s">
        <v>13</v>
      </c>
      <c r="C94" s="46">
        <v>45351</v>
      </c>
      <c r="D94" s="45" t="s">
        <v>14</v>
      </c>
      <c r="E94" s="45" t="s">
        <v>44</v>
      </c>
      <c r="F94" s="114">
        <v>1100</v>
      </c>
      <c r="G94" s="114">
        <v>229</v>
      </c>
      <c r="H94" s="114">
        <v>312</v>
      </c>
      <c r="I94" s="114">
        <v>25641</v>
      </c>
      <c r="J94" s="114">
        <v>34601</v>
      </c>
      <c r="K94" s="114">
        <v>169</v>
      </c>
      <c r="L94" s="45" t="s">
        <v>19</v>
      </c>
      <c r="M94" s="45"/>
      <c r="N94" s="45" t="s">
        <v>20</v>
      </c>
      <c r="O94" s="84">
        <v>6.3999063999063993E-2</v>
      </c>
    </row>
    <row r="95" spans="1:15" x14ac:dyDescent="0.3">
      <c r="A95" s="41" t="s">
        <v>128</v>
      </c>
      <c r="B95" s="42" t="s">
        <v>22</v>
      </c>
      <c r="C95" s="43">
        <v>45609</v>
      </c>
      <c r="D95" s="42" t="s">
        <v>23</v>
      </c>
      <c r="E95" s="42" t="s">
        <v>36</v>
      </c>
      <c r="F95" s="113">
        <v>4628</v>
      </c>
      <c r="G95" s="113">
        <v>257</v>
      </c>
      <c r="H95" s="113">
        <v>397</v>
      </c>
      <c r="I95" s="113">
        <v>36686</v>
      </c>
      <c r="J95" s="113">
        <v>54683</v>
      </c>
      <c r="K95" s="113">
        <v>98</v>
      </c>
      <c r="L95" s="42" t="s">
        <v>40</v>
      </c>
      <c r="M95" s="42" t="s">
        <v>37</v>
      </c>
      <c r="N95" s="42" t="s">
        <v>16</v>
      </c>
      <c r="O95" s="83">
        <v>0.1439786294499264</v>
      </c>
    </row>
    <row r="96" spans="1:15" x14ac:dyDescent="0.3">
      <c r="A96" s="41" t="s">
        <v>129</v>
      </c>
      <c r="B96" s="42" t="s">
        <v>13</v>
      </c>
      <c r="C96" s="43">
        <v>45373</v>
      </c>
      <c r="D96" s="42" t="s">
        <v>23</v>
      </c>
      <c r="E96" s="42" t="s">
        <v>15</v>
      </c>
      <c r="F96" s="113">
        <v>2319</v>
      </c>
      <c r="G96" s="113">
        <v>484</v>
      </c>
      <c r="H96" s="113">
        <v>193</v>
      </c>
      <c r="I96" s="113">
        <v>21202</v>
      </c>
      <c r="J96" s="113">
        <v>18091</v>
      </c>
      <c r="K96" s="113">
        <v>241</v>
      </c>
      <c r="L96" s="42" t="s">
        <v>37</v>
      </c>
      <c r="M96" s="42"/>
      <c r="N96" s="42" t="s">
        <v>50</v>
      </c>
      <c r="O96" s="83">
        <v>0.14130742382794076</v>
      </c>
    </row>
    <row r="97" spans="1:15" x14ac:dyDescent="0.3">
      <c r="A97" s="44" t="s">
        <v>130</v>
      </c>
      <c r="B97" s="45" t="s">
        <v>22</v>
      </c>
      <c r="C97" s="46">
        <v>45367</v>
      </c>
      <c r="D97" s="45" t="s">
        <v>23</v>
      </c>
      <c r="E97" s="45" t="s">
        <v>26</v>
      </c>
      <c r="F97" s="114">
        <v>2895</v>
      </c>
      <c r="G97" s="114">
        <v>292</v>
      </c>
      <c r="H97" s="114">
        <v>90</v>
      </c>
      <c r="I97" s="114">
        <v>24223</v>
      </c>
      <c r="J97" s="114">
        <v>54626</v>
      </c>
      <c r="K97" s="114">
        <v>114</v>
      </c>
      <c r="L97" s="45" t="s">
        <v>40</v>
      </c>
      <c r="M97" s="45" t="s">
        <v>37</v>
      </c>
      <c r="N97" s="45" t="s">
        <v>16</v>
      </c>
      <c r="O97" s="84">
        <v>0.13528464682326713</v>
      </c>
    </row>
    <row r="98" spans="1:15" x14ac:dyDescent="0.3">
      <c r="A98" s="44" t="s">
        <v>131</v>
      </c>
      <c r="B98" s="45" t="s">
        <v>13</v>
      </c>
      <c r="C98" s="46">
        <v>45317</v>
      </c>
      <c r="D98" s="45" t="s">
        <v>14</v>
      </c>
      <c r="E98" s="45" t="s">
        <v>31</v>
      </c>
      <c r="F98" s="114">
        <v>3878</v>
      </c>
      <c r="G98" s="114">
        <v>431</v>
      </c>
      <c r="H98" s="114">
        <v>97</v>
      </c>
      <c r="I98" s="114">
        <v>41763</v>
      </c>
      <c r="J98" s="114">
        <v>29729</v>
      </c>
      <c r="K98" s="114">
        <v>191</v>
      </c>
      <c r="L98" s="45" t="s">
        <v>19</v>
      </c>
      <c r="M98" s="45"/>
      <c r="N98" s="45" t="s">
        <v>20</v>
      </c>
      <c r="O98" s="84">
        <v>0.10550008380623997</v>
      </c>
    </row>
    <row r="99" spans="1:15" x14ac:dyDescent="0.3">
      <c r="A99" s="41" t="s">
        <v>132</v>
      </c>
      <c r="B99" s="42" t="s">
        <v>22</v>
      </c>
      <c r="C99" s="43">
        <v>45366</v>
      </c>
      <c r="D99" s="42" t="s">
        <v>23</v>
      </c>
      <c r="E99" s="42" t="s">
        <v>33</v>
      </c>
      <c r="F99" s="113">
        <v>4969</v>
      </c>
      <c r="G99" s="113">
        <v>433</v>
      </c>
      <c r="H99" s="113">
        <v>237</v>
      </c>
      <c r="I99" s="113">
        <v>59552</v>
      </c>
      <c r="J99" s="113">
        <v>23885</v>
      </c>
      <c r="K99" s="113">
        <v>157</v>
      </c>
      <c r="L99" s="42" t="s">
        <v>19</v>
      </c>
      <c r="M99" s="42" t="s">
        <v>337</v>
      </c>
      <c r="N99" s="42" t="s">
        <v>16</v>
      </c>
      <c r="O99" s="83">
        <v>9.4690354648038683E-2</v>
      </c>
    </row>
    <row r="100" spans="1:15" x14ac:dyDescent="0.3">
      <c r="A100" s="41" t="s">
        <v>133</v>
      </c>
      <c r="B100" s="42" t="s">
        <v>22</v>
      </c>
      <c r="C100" s="43">
        <v>45580</v>
      </c>
      <c r="D100" s="42" t="s">
        <v>14</v>
      </c>
      <c r="E100" s="42" t="s">
        <v>26</v>
      </c>
      <c r="F100" s="113">
        <v>1984</v>
      </c>
      <c r="G100" s="113">
        <v>481</v>
      </c>
      <c r="H100" s="113">
        <v>356</v>
      </c>
      <c r="I100" s="113">
        <v>40681</v>
      </c>
      <c r="J100" s="113">
        <v>63111</v>
      </c>
      <c r="K100" s="113">
        <v>258</v>
      </c>
      <c r="L100" s="42" t="s">
        <v>37</v>
      </c>
      <c r="M100" s="42"/>
      <c r="N100" s="42" t="s">
        <v>16</v>
      </c>
      <c r="O100" s="83">
        <v>6.934441139598338E-2</v>
      </c>
    </row>
    <row r="101" spans="1:15" x14ac:dyDescent="0.3">
      <c r="A101" s="41" t="s">
        <v>134</v>
      </c>
      <c r="B101" s="42" t="s">
        <v>13</v>
      </c>
      <c r="C101" s="43">
        <v>45494</v>
      </c>
      <c r="D101" s="42" t="s">
        <v>14</v>
      </c>
      <c r="E101" s="42" t="s">
        <v>15</v>
      </c>
      <c r="F101" s="113">
        <v>3004</v>
      </c>
      <c r="G101" s="113">
        <v>415</v>
      </c>
      <c r="H101" s="113">
        <v>218</v>
      </c>
      <c r="I101" s="113">
        <v>36090</v>
      </c>
      <c r="J101" s="113">
        <v>37073</v>
      </c>
      <c r="K101" s="113">
        <v>181</v>
      </c>
      <c r="L101" s="42" t="s">
        <v>19</v>
      </c>
      <c r="M101" s="42"/>
      <c r="N101" s="42" t="s">
        <v>20</v>
      </c>
      <c r="O101" s="83">
        <v>0.10077583818232197</v>
      </c>
    </row>
    <row r="102" spans="1:15" x14ac:dyDescent="0.3">
      <c r="A102" s="41" t="s">
        <v>135</v>
      </c>
      <c r="B102" s="42" t="s">
        <v>22</v>
      </c>
      <c r="C102" s="43">
        <v>45577</v>
      </c>
      <c r="D102" s="42" t="s">
        <v>14</v>
      </c>
      <c r="E102" s="42" t="s">
        <v>33</v>
      </c>
      <c r="F102" s="113">
        <v>3169</v>
      </c>
      <c r="G102" s="113">
        <v>386</v>
      </c>
      <c r="H102" s="113">
        <v>175</v>
      </c>
      <c r="I102" s="113">
        <v>45012</v>
      </c>
      <c r="J102" s="113">
        <v>38508</v>
      </c>
      <c r="K102" s="113">
        <v>218</v>
      </c>
      <c r="L102" s="42" t="s">
        <v>37</v>
      </c>
      <c r="M102" s="42"/>
      <c r="N102" s="42" t="s">
        <v>16</v>
      </c>
      <c r="O102" s="83">
        <v>8.2866791077934779E-2</v>
      </c>
    </row>
    <row r="103" spans="1:15" x14ac:dyDescent="0.3">
      <c r="A103" s="41" t="s">
        <v>136</v>
      </c>
      <c r="B103" s="42" t="s">
        <v>22</v>
      </c>
      <c r="C103" s="43">
        <v>45591</v>
      </c>
      <c r="D103" s="42" t="s">
        <v>14</v>
      </c>
      <c r="E103" s="42" t="s">
        <v>15</v>
      </c>
      <c r="F103" s="113">
        <v>3036</v>
      </c>
      <c r="G103" s="113">
        <v>293</v>
      </c>
      <c r="H103" s="113">
        <v>115</v>
      </c>
      <c r="I103" s="113">
        <v>23776</v>
      </c>
      <c r="J103" s="113">
        <v>46386</v>
      </c>
      <c r="K103" s="113">
        <v>282</v>
      </c>
      <c r="L103" s="42" t="s">
        <v>37</v>
      </c>
      <c r="M103" s="42"/>
      <c r="N103" s="42" t="s">
        <v>16</v>
      </c>
      <c r="O103" s="83">
        <v>0.14485195154777927</v>
      </c>
    </row>
    <row r="104" spans="1:15" x14ac:dyDescent="0.3">
      <c r="A104" s="44" t="s">
        <v>137</v>
      </c>
      <c r="B104" s="45" t="s">
        <v>13</v>
      </c>
      <c r="C104" s="46">
        <v>45336</v>
      </c>
      <c r="D104" s="45" t="s">
        <v>14</v>
      </c>
      <c r="E104" s="45" t="s">
        <v>29</v>
      </c>
      <c r="F104" s="114">
        <v>1830</v>
      </c>
      <c r="G104" s="114">
        <v>112</v>
      </c>
      <c r="H104" s="114">
        <v>181</v>
      </c>
      <c r="I104" s="114">
        <v>31870</v>
      </c>
      <c r="J104" s="114">
        <v>55742</v>
      </c>
      <c r="K104" s="114">
        <v>263</v>
      </c>
      <c r="L104" s="45" t="s">
        <v>40</v>
      </c>
      <c r="M104" s="45" t="s">
        <v>37</v>
      </c>
      <c r="N104" s="45" t="s">
        <v>16</v>
      </c>
      <c r="O104" s="84">
        <v>6.6614370881706936E-2</v>
      </c>
    </row>
    <row r="105" spans="1:15" x14ac:dyDescent="0.3">
      <c r="A105" s="44" t="s">
        <v>138</v>
      </c>
      <c r="B105" s="45" t="s">
        <v>22</v>
      </c>
      <c r="C105" s="46">
        <v>45413</v>
      </c>
      <c r="D105" s="45" t="s">
        <v>23</v>
      </c>
      <c r="E105" s="45" t="s">
        <v>31</v>
      </c>
      <c r="F105" s="114">
        <v>2587</v>
      </c>
      <c r="G105" s="114">
        <v>447</v>
      </c>
      <c r="H105" s="114">
        <v>183</v>
      </c>
      <c r="I105" s="114">
        <v>36266</v>
      </c>
      <c r="J105" s="114">
        <v>32877</v>
      </c>
      <c r="K105" s="114">
        <v>132</v>
      </c>
      <c r="L105" s="45" t="s">
        <v>19</v>
      </c>
      <c r="M105" s="45" t="s">
        <v>337</v>
      </c>
      <c r="N105" s="45" t="s">
        <v>16</v>
      </c>
      <c r="O105" s="84">
        <v>8.8705674736667947E-2</v>
      </c>
    </row>
    <row r="106" spans="1:15" x14ac:dyDescent="0.3">
      <c r="A106" s="44" t="s">
        <v>139</v>
      </c>
      <c r="B106" s="45" t="s">
        <v>22</v>
      </c>
      <c r="C106" s="46">
        <v>45553</v>
      </c>
      <c r="D106" s="45" t="s">
        <v>14</v>
      </c>
      <c r="E106" s="45" t="s">
        <v>15</v>
      </c>
      <c r="F106" s="114">
        <v>2878</v>
      </c>
      <c r="G106" s="114">
        <v>265</v>
      </c>
      <c r="H106" s="114">
        <v>91</v>
      </c>
      <c r="I106" s="114">
        <v>52090</v>
      </c>
      <c r="J106" s="114">
        <v>28924</v>
      </c>
      <c r="K106" s="114">
        <v>133</v>
      </c>
      <c r="L106" s="45" t="s">
        <v>37</v>
      </c>
      <c r="M106" s="45"/>
      <c r="N106" s="45" t="s">
        <v>16</v>
      </c>
      <c r="O106" s="84">
        <v>6.2084853138798232E-2</v>
      </c>
    </row>
    <row r="107" spans="1:15" x14ac:dyDescent="0.3">
      <c r="A107" s="44" t="s">
        <v>140</v>
      </c>
      <c r="B107" s="45" t="s">
        <v>22</v>
      </c>
      <c r="C107" s="46">
        <v>45677</v>
      </c>
      <c r="D107" s="45" t="s">
        <v>23</v>
      </c>
      <c r="E107" s="45" t="s">
        <v>24</v>
      </c>
      <c r="F107" s="114">
        <v>4619</v>
      </c>
      <c r="G107" s="114">
        <v>272</v>
      </c>
      <c r="H107" s="114">
        <v>57</v>
      </c>
      <c r="I107" s="114">
        <v>21334</v>
      </c>
      <c r="J107" s="114">
        <v>46292</v>
      </c>
      <c r="K107" s="114">
        <v>91</v>
      </c>
      <c r="L107" s="45" t="s">
        <v>40</v>
      </c>
      <c r="M107" s="45" t="s">
        <v>37</v>
      </c>
      <c r="N107" s="45" t="s">
        <v>16</v>
      </c>
      <c r="O107" s="84">
        <v>0.23193025217961938</v>
      </c>
    </row>
    <row r="108" spans="1:15" x14ac:dyDescent="0.3">
      <c r="A108" s="41" t="s">
        <v>141</v>
      </c>
      <c r="B108" s="42" t="s">
        <v>22</v>
      </c>
      <c r="C108" s="43">
        <v>45670</v>
      </c>
      <c r="D108" s="42" t="s">
        <v>14</v>
      </c>
      <c r="E108" s="42" t="s">
        <v>29</v>
      </c>
      <c r="F108" s="113">
        <v>4090</v>
      </c>
      <c r="G108" s="113">
        <v>209</v>
      </c>
      <c r="H108" s="113">
        <v>278</v>
      </c>
      <c r="I108" s="113">
        <v>52853</v>
      </c>
      <c r="J108" s="113">
        <v>57084</v>
      </c>
      <c r="K108" s="113">
        <v>102</v>
      </c>
      <c r="L108" s="42" t="s">
        <v>40</v>
      </c>
      <c r="M108" s="42"/>
      <c r="N108" s="42" t="s">
        <v>20</v>
      </c>
      <c r="O108" s="83">
        <v>8.6598679355949518E-2</v>
      </c>
    </row>
    <row r="109" spans="1:15" x14ac:dyDescent="0.3">
      <c r="A109" s="41" t="s">
        <v>142</v>
      </c>
      <c r="B109" s="42" t="s">
        <v>28</v>
      </c>
      <c r="C109" s="43">
        <v>45542</v>
      </c>
      <c r="D109" s="42" t="s">
        <v>52</v>
      </c>
      <c r="E109" s="42" t="s">
        <v>29</v>
      </c>
      <c r="F109" s="113">
        <v>3882</v>
      </c>
      <c r="G109" s="113">
        <v>342</v>
      </c>
      <c r="H109" s="113">
        <v>374</v>
      </c>
      <c r="I109" s="113">
        <v>41991</v>
      </c>
      <c r="J109" s="113">
        <v>48554</v>
      </c>
      <c r="K109" s="113">
        <v>118</v>
      </c>
      <c r="L109" s="42" t="s">
        <v>19</v>
      </c>
      <c r="M109" s="42" t="s">
        <v>40</v>
      </c>
      <c r="N109" s="42" t="s">
        <v>53</v>
      </c>
      <c r="O109" s="83">
        <v>0.10949965468790931</v>
      </c>
    </row>
    <row r="110" spans="1:15" x14ac:dyDescent="0.3">
      <c r="A110" s="41" t="s">
        <v>143</v>
      </c>
      <c r="B110" s="42" t="s">
        <v>13</v>
      </c>
      <c r="C110" s="43">
        <v>45617</v>
      </c>
      <c r="D110" s="42" t="s">
        <v>14</v>
      </c>
      <c r="E110" s="42" t="s">
        <v>29</v>
      </c>
      <c r="F110" s="113">
        <v>4581</v>
      </c>
      <c r="G110" s="113">
        <v>181</v>
      </c>
      <c r="H110" s="113">
        <v>112</v>
      </c>
      <c r="I110" s="113">
        <v>35221</v>
      </c>
      <c r="J110" s="113">
        <v>28797</v>
      </c>
      <c r="K110" s="113">
        <v>164</v>
      </c>
      <c r="L110" s="42" t="s">
        <v>40</v>
      </c>
      <c r="M110" s="42" t="s">
        <v>37</v>
      </c>
      <c r="N110" s="42" t="s">
        <v>16</v>
      </c>
      <c r="O110" s="83">
        <v>0.13838335084182732</v>
      </c>
    </row>
    <row r="111" spans="1:15" x14ac:dyDescent="0.3">
      <c r="A111" s="41" t="s">
        <v>144</v>
      </c>
      <c r="B111" s="42" t="s">
        <v>13</v>
      </c>
      <c r="C111" s="43">
        <v>45469</v>
      </c>
      <c r="D111" s="42" t="s">
        <v>14</v>
      </c>
      <c r="E111" s="42" t="s">
        <v>24</v>
      </c>
      <c r="F111" s="113">
        <v>3253</v>
      </c>
      <c r="G111" s="113">
        <v>483</v>
      </c>
      <c r="H111" s="113">
        <v>336</v>
      </c>
      <c r="I111" s="113">
        <v>25397</v>
      </c>
      <c r="J111" s="113">
        <v>51485</v>
      </c>
      <c r="K111" s="113">
        <v>131</v>
      </c>
      <c r="L111" s="42" t="s">
        <v>19</v>
      </c>
      <c r="M111" s="42"/>
      <c r="N111" s="42" t="s">
        <v>20</v>
      </c>
      <c r="O111" s="83">
        <v>0.16033389770445328</v>
      </c>
    </row>
    <row r="112" spans="1:15" x14ac:dyDescent="0.3">
      <c r="A112" s="44" t="s">
        <v>145</v>
      </c>
      <c r="B112" s="45" t="s">
        <v>28</v>
      </c>
      <c r="C112" s="46">
        <v>45493</v>
      </c>
      <c r="D112" s="45" t="s">
        <v>52</v>
      </c>
      <c r="E112" s="45" t="s">
        <v>29</v>
      </c>
      <c r="F112" s="114">
        <v>4955</v>
      </c>
      <c r="G112" s="114">
        <v>299</v>
      </c>
      <c r="H112" s="114">
        <v>345</v>
      </c>
      <c r="I112" s="114">
        <v>33644</v>
      </c>
      <c r="J112" s="114">
        <v>43547</v>
      </c>
      <c r="K112" s="114">
        <v>194</v>
      </c>
      <c r="L112" s="45" t="s">
        <v>19</v>
      </c>
      <c r="M112" s="45" t="s">
        <v>40</v>
      </c>
      <c r="N112" s="45" t="s">
        <v>53</v>
      </c>
      <c r="O112" s="84">
        <v>0.16641897515158721</v>
      </c>
    </row>
    <row r="113" spans="1:15" x14ac:dyDescent="0.3">
      <c r="A113" s="41" t="s">
        <v>146</v>
      </c>
      <c r="B113" s="42" t="s">
        <v>13</v>
      </c>
      <c r="C113" s="43">
        <v>45704</v>
      </c>
      <c r="D113" s="42" t="s">
        <v>14</v>
      </c>
      <c r="E113" s="42" t="s">
        <v>46</v>
      </c>
      <c r="F113" s="113">
        <v>1333</v>
      </c>
      <c r="G113" s="113">
        <v>286</v>
      </c>
      <c r="H113" s="113">
        <v>298</v>
      </c>
      <c r="I113" s="113">
        <v>36174</v>
      </c>
      <c r="J113" s="113">
        <v>34517</v>
      </c>
      <c r="K113" s="113">
        <v>170</v>
      </c>
      <c r="L113" s="42" t="s">
        <v>40</v>
      </c>
      <c r="M113" s="42" t="s">
        <v>37</v>
      </c>
      <c r="N113" s="42" t="s">
        <v>16</v>
      </c>
      <c r="O113" s="83">
        <v>5.2993862995521647E-2</v>
      </c>
    </row>
    <row r="114" spans="1:15" x14ac:dyDescent="0.3">
      <c r="A114" s="44" t="s">
        <v>147</v>
      </c>
      <c r="B114" s="45" t="s">
        <v>13</v>
      </c>
      <c r="C114" s="46">
        <v>45544</v>
      </c>
      <c r="D114" s="45" t="s">
        <v>14</v>
      </c>
      <c r="E114" s="45" t="s">
        <v>24</v>
      </c>
      <c r="F114" s="114">
        <v>1616</v>
      </c>
      <c r="G114" s="114">
        <v>360</v>
      </c>
      <c r="H114" s="114">
        <v>180</v>
      </c>
      <c r="I114" s="114">
        <v>54342</v>
      </c>
      <c r="J114" s="114">
        <v>18796</v>
      </c>
      <c r="K114" s="114">
        <v>282</v>
      </c>
      <c r="L114" s="45" t="s">
        <v>40</v>
      </c>
      <c r="M114" s="45" t="s">
        <v>37</v>
      </c>
      <c r="N114" s="45" t="s">
        <v>16</v>
      </c>
      <c r="O114" s="84">
        <v>3.9674653122814763E-2</v>
      </c>
    </row>
    <row r="115" spans="1:15" x14ac:dyDescent="0.3">
      <c r="A115" s="41" t="s">
        <v>148</v>
      </c>
      <c r="B115" s="42" t="s">
        <v>22</v>
      </c>
      <c r="C115" s="43">
        <v>45489</v>
      </c>
      <c r="D115" s="42" t="s">
        <v>14</v>
      </c>
      <c r="E115" s="42" t="s">
        <v>36</v>
      </c>
      <c r="F115" s="113">
        <v>1803</v>
      </c>
      <c r="G115" s="113">
        <v>273</v>
      </c>
      <c r="H115" s="113">
        <v>287</v>
      </c>
      <c r="I115" s="113">
        <v>46176</v>
      </c>
      <c r="J115" s="113">
        <v>25488</v>
      </c>
      <c r="K115" s="113">
        <v>141</v>
      </c>
      <c r="L115" s="42" t="s">
        <v>37</v>
      </c>
      <c r="M115" s="42"/>
      <c r="N115" s="42" t="s">
        <v>16</v>
      </c>
      <c r="O115" s="83">
        <v>5.1173769923769923E-2</v>
      </c>
    </row>
    <row r="116" spans="1:15" x14ac:dyDescent="0.3">
      <c r="A116" s="41" t="s">
        <v>149</v>
      </c>
      <c r="B116" s="42" t="s">
        <v>13</v>
      </c>
      <c r="C116" s="43">
        <v>45762</v>
      </c>
      <c r="D116" s="42" t="s">
        <v>14</v>
      </c>
      <c r="E116" s="42" t="s">
        <v>18</v>
      </c>
      <c r="F116" s="113">
        <v>4177</v>
      </c>
      <c r="G116" s="113">
        <v>489</v>
      </c>
      <c r="H116" s="113">
        <v>331</v>
      </c>
      <c r="I116" s="113">
        <v>57451</v>
      </c>
      <c r="J116" s="113">
        <v>73793</v>
      </c>
      <c r="K116" s="113">
        <v>251</v>
      </c>
      <c r="L116" s="42" t="s">
        <v>19</v>
      </c>
      <c r="M116" s="42"/>
      <c r="N116" s="42" t="s">
        <v>20</v>
      </c>
      <c r="O116" s="83">
        <v>8.6978468608031198E-2</v>
      </c>
    </row>
    <row r="117" spans="1:15" x14ac:dyDescent="0.3">
      <c r="A117" s="44" t="s">
        <v>150</v>
      </c>
      <c r="B117" s="45" t="s">
        <v>13</v>
      </c>
      <c r="C117" s="46">
        <v>45781</v>
      </c>
      <c r="D117" s="45" t="s">
        <v>23</v>
      </c>
      <c r="E117" s="45" t="s">
        <v>24</v>
      </c>
      <c r="F117" s="114">
        <v>1311</v>
      </c>
      <c r="G117" s="114">
        <v>181</v>
      </c>
      <c r="H117" s="114">
        <v>361</v>
      </c>
      <c r="I117" s="114">
        <v>37148</v>
      </c>
      <c r="J117" s="114">
        <v>44875</v>
      </c>
      <c r="K117" s="114">
        <v>245</v>
      </c>
      <c r="L117" s="45" t="s">
        <v>37</v>
      </c>
      <c r="M117" s="45"/>
      <c r="N117" s="45" t="s">
        <v>50</v>
      </c>
      <c r="O117" s="84">
        <v>4.9881554861634543E-2</v>
      </c>
    </row>
    <row r="118" spans="1:15" x14ac:dyDescent="0.3">
      <c r="A118" s="44" t="s">
        <v>151</v>
      </c>
      <c r="B118" s="45" t="s">
        <v>13</v>
      </c>
      <c r="C118" s="46">
        <v>45340</v>
      </c>
      <c r="D118" s="45" t="s">
        <v>23</v>
      </c>
      <c r="E118" s="45" t="s">
        <v>44</v>
      </c>
      <c r="F118" s="114">
        <v>1516</v>
      </c>
      <c r="G118" s="114">
        <v>215</v>
      </c>
      <c r="H118" s="114">
        <v>332</v>
      </c>
      <c r="I118" s="114">
        <v>58981</v>
      </c>
      <c r="J118" s="114">
        <v>36118</v>
      </c>
      <c r="K118" s="114">
        <v>211</v>
      </c>
      <c r="L118" s="45" t="s">
        <v>37</v>
      </c>
      <c r="M118" s="45"/>
      <c r="N118" s="45" t="s">
        <v>50</v>
      </c>
      <c r="O118" s="84">
        <v>3.4977365592309385E-2</v>
      </c>
    </row>
    <row r="119" spans="1:15" x14ac:dyDescent="0.3">
      <c r="A119" s="41" t="s">
        <v>152</v>
      </c>
      <c r="B119" s="42" t="s">
        <v>22</v>
      </c>
      <c r="C119" s="43">
        <v>45428</v>
      </c>
      <c r="D119" s="42" t="s">
        <v>23</v>
      </c>
      <c r="E119" s="42" t="s">
        <v>29</v>
      </c>
      <c r="F119" s="113">
        <v>2023</v>
      </c>
      <c r="G119" s="113">
        <v>124</v>
      </c>
      <c r="H119" s="113">
        <v>99</v>
      </c>
      <c r="I119" s="113">
        <v>54524</v>
      </c>
      <c r="J119" s="113">
        <v>34790</v>
      </c>
      <c r="K119" s="113">
        <v>195</v>
      </c>
      <c r="L119" s="42" t="s">
        <v>19</v>
      </c>
      <c r="M119" s="42" t="s">
        <v>337</v>
      </c>
      <c r="N119" s="42" t="s">
        <v>16</v>
      </c>
      <c r="O119" s="83">
        <v>4.1192869195216787E-2</v>
      </c>
    </row>
    <row r="120" spans="1:15" x14ac:dyDescent="0.3">
      <c r="A120" s="44" t="s">
        <v>153</v>
      </c>
      <c r="B120" s="45" t="s">
        <v>22</v>
      </c>
      <c r="C120" s="46">
        <v>45806</v>
      </c>
      <c r="D120" s="45" t="s">
        <v>23</v>
      </c>
      <c r="E120" s="45" t="s">
        <v>29</v>
      </c>
      <c r="F120" s="114">
        <v>2134</v>
      </c>
      <c r="G120" s="114">
        <v>322</v>
      </c>
      <c r="H120" s="114">
        <v>114</v>
      </c>
      <c r="I120" s="114">
        <v>44338</v>
      </c>
      <c r="J120" s="114">
        <v>52165</v>
      </c>
      <c r="K120" s="114">
        <v>176</v>
      </c>
      <c r="L120" s="45" t="s">
        <v>337</v>
      </c>
      <c r="M120" s="45" t="s">
        <v>37</v>
      </c>
      <c r="N120" s="45" t="s">
        <v>16</v>
      </c>
      <c r="O120" s="84">
        <v>5.7963823356939871E-2</v>
      </c>
    </row>
    <row r="121" spans="1:15" x14ac:dyDescent="0.3">
      <c r="A121" s="44" t="s">
        <v>154</v>
      </c>
      <c r="B121" s="45" t="s">
        <v>13</v>
      </c>
      <c r="C121" s="46">
        <v>45674</v>
      </c>
      <c r="D121" s="45" t="s">
        <v>14</v>
      </c>
      <c r="E121" s="45" t="s">
        <v>36</v>
      </c>
      <c r="F121" s="114">
        <v>2266</v>
      </c>
      <c r="G121" s="114">
        <v>126</v>
      </c>
      <c r="H121" s="114">
        <v>140</v>
      </c>
      <c r="I121" s="114">
        <v>53759</v>
      </c>
      <c r="J121" s="114">
        <v>46834</v>
      </c>
      <c r="K121" s="114">
        <v>277</v>
      </c>
      <c r="L121" s="45" t="s">
        <v>19</v>
      </c>
      <c r="M121" s="45"/>
      <c r="N121" s="45" t="s">
        <v>20</v>
      </c>
      <c r="O121" s="84">
        <v>4.7099090384865788E-2</v>
      </c>
    </row>
    <row r="122" spans="1:15" x14ac:dyDescent="0.3">
      <c r="A122" s="44" t="s">
        <v>155</v>
      </c>
      <c r="B122" s="45" t="s">
        <v>13</v>
      </c>
      <c r="C122" s="46">
        <v>45777</v>
      </c>
      <c r="D122" s="45" t="s">
        <v>23</v>
      </c>
      <c r="E122" s="45" t="s">
        <v>24</v>
      </c>
      <c r="F122" s="114">
        <v>3916</v>
      </c>
      <c r="G122" s="114">
        <v>459</v>
      </c>
      <c r="H122" s="114">
        <v>229</v>
      </c>
      <c r="I122" s="114">
        <v>48989</v>
      </c>
      <c r="J122" s="114">
        <v>39768</v>
      </c>
      <c r="K122" s="114">
        <v>200</v>
      </c>
      <c r="L122" s="45" t="s">
        <v>37</v>
      </c>
      <c r="M122" s="45"/>
      <c r="N122" s="45" t="s">
        <v>50</v>
      </c>
      <c r="O122" s="84">
        <v>9.3980281287635997E-2</v>
      </c>
    </row>
    <row r="123" spans="1:15" x14ac:dyDescent="0.3">
      <c r="A123" s="41" t="s">
        <v>156</v>
      </c>
      <c r="B123" s="42" t="s">
        <v>22</v>
      </c>
      <c r="C123" s="43">
        <v>45346</v>
      </c>
      <c r="D123" s="42" t="s">
        <v>23</v>
      </c>
      <c r="E123" s="42" t="s">
        <v>29</v>
      </c>
      <c r="F123" s="113">
        <v>1022</v>
      </c>
      <c r="G123" s="113">
        <v>463</v>
      </c>
      <c r="H123" s="113">
        <v>360</v>
      </c>
      <c r="I123" s="113">
        <v>51468</v>
      </c>
      <c r="J123" s="113">
        <v>24279</v>
      </c>
      <c r="K123" s="113">
        <v>230</v>
      </c>
      <c r="L123" s="42" t="s">
        <v>19</v>
      </c>
      <c r="M123" s="42" t="s">
        <v>337</v>
      </c>
      <c r="N123" s="42" t="s">
        <v>16</v>
      </c>
      <c r="O123" s="83">
        <v>3.5847516903707161E-2</v>
      </c>
    </row>
    <row r="124" spans="1:15" x14ac:dyDescent="0.3">
      <c r="A124" s="41" t="s">
        <v>157</v>
      </c>
      <c r="B124" s="42" t="s">
        <v>28</v>
      </c>
      <c r="C124" s="43">
        <v>45424</v>
      </c>
      <c r="D124" s="42" t="s">
        <v>14</v>
      </c>
      <c r="E124" s="42" t="s">
        <v>44</v>
      </c>
      <c r="F124" s="113">
        <v>2911</v>
      </c>
      <c r="G124" s="113">
        <v>467</v>
      </c>
      <c r="H124" s="113">
        <v>94</v>
      </c>
      <c r="I124" s="113">
        <v>59083</v>
      </c>
      <c r="J124" s="113">
        <v>49762</v>
      </c>
      <c r="K124" s="113">
        <v>236</v>
      </c>
      <c r="L124" s="42" t="s">
        <v>19</v>
      </c>
      <c r="M124" s="42" t="s">
        <v>338</v>
      </c>
      <c r="N124" s="42" t="s">
        <v>20</v>
      </c>
      <c r="O124" s="83">
        <v>5.8764788517847777E-2</v>
      </c>
    </row>
    <row r="125" spans="1:15" x14ac:dyDescent="0.3">
      <c r="A125" s="44" t="s">
        <v>158</v>
      </c>
      <c r="B125" s="45" t="s">
        <v>22</v>
      </c>
      <c r="C125" s="46">
        <v>45421</v>
      </c>
      <c r="D125" s="45" t="s">
        <v>23</v>
      </c>
      <c r="E125" s="45" t="s">
        <v>24</v>
      </c>
      <c r="F125" s="114">
        <v>3277</v>
      </c>
      <c r="G125" s="114">
        <v>423</v>
      </c>
      <c r="H125" s="114">
        <v>259</v>
      </c>
      <c r="I125" s="114">
        <v>46328</v>
      </c>
      <c r="J125" s="114">
        <v>44293</v>
      </c>
      <c r="K125" s="114">
        <v>299</v>
      </c>
      <c r="L125" s="45" t="s">
        <v>40</v>
      </c>
      <c r="M125" s="45" t="s">
        <v>37</v>
      </c>
      <c r="N125" s="45" t="s">
        <v>16</v>
      </c>
      <c r="O125" s="84">
        <v>8.5455879813503707E-2</v>
      </c>
    </row>
    <row r="126" spans="1:15" x14ac:dyDescent="0.3">
      <c r="A126" s="44" t="s">
        <v>159</v>
      </c>
      <c r="B126" s="45" t="s">
        <v>22</v>
      </c>
      <c r="C126" s="46">
        <v>45602</v>
      </c>
      <c r="D126" s="45" t="s">
        <v>14</v>
      </c>
      <c r="E126" s="45" t="s">
        <v>44</v>
      </c>
      <c r="F126" s="114">
        <v>2956</v>
      </c>
      <c r="G126" s="114">
        <v>381</v>
      </c>
      <c r="H126" s="114">
        <v>345</v>
      </c>
      <c r="I126" s="114">
        <v>33347</v>
      </c>
      <c r="J126" s="114">
        <v>22558</v>
      </c>
      <c r="K126" s="114">
        <v>173</v>
      </c>
      <c r="L126" s="45" t="s">
        <v>37</v>
      </c>
      <c r="M126" s="45"/>
      <c r="N126" s="45" t="s">
        <v>16</v>
      </c>
      <c r="O126" s="84">
        <v>0.11041472996071611</v>
      </c>
    </row>
    <row r="127" spans="1:15" x14ac:dyDescent="0.3">
      <c r="A127" s="44" t="s">
        <v>160</v>
      </c>
      <c r="B127" s="45" t="s">
        <v>22</v>
      </c>
      <c r="C127" s="46">
        <v>45295</v>
      </c>
      <c r="D127" s="45" t="s">
        <v>23</v>
      </c>
      <c r="E127" s="45" t="s">
        <v>31</v>
      </c>
      <c r="F127" s="114">
        <v>3208</v>
      </c>
      <c r="G127" s="114">
        <v>476</v>
      </c>
      <c r="H127" s="114">
        <v>277</v>
      </c>
      <c r="I127" s="114">
        <v>56072</v>
      </c>
      <c r="J127" s="114">
        <v>21061</v>
      </c>
      <c r="K127" s="114">
        <v>113</v>
      </c>
      <c r="L127" s="45" t="s">
        <v>337</v>
      </c>
      <c r="M127" s="45" t="s">
        <v>37</v>
      </c>
      <c r="N127" s="45" t="s">
        <v>16</v>
      </c>
      <c r="O127" s="84">
        <v>7.064131830503638E-2</v>
      </c>
    </row>
    <row r="128" spans="1:15" x14ac:dyDescent="0.3">
      <c r="A128" s="41" t="s">
        <v>161</v>
      </c>
      <c r="B128" s="42" t="s">
        <v>22</v>
      </c>
      <c r="C128" s="43">
        <v>45319</v>
      </c>
      <c r="D128" s="42" t="s">
        <v>14</v>
      </c>
      <c r="E128" s="42" t="s">
        <v>29</v>
      </c>
      <c r="F128" s="113">
        <v>1456</v>
      </c>
      <c r="G128" s="113">
        <v>265</v>
      </c>
      <c r="H128" s="113">
        <v>137</v>
      </c>
      <c r="I128" s="113">
        <v>53485</v>
      </c>
      <c r="J128" s="113">
        <v>59729</v>
      </c>
      <c r="K128" s="113">
        <v>145</v>
      </c>
      <c r="L128" s="42" t="s">
        <v>40</v>
      </c>
      <c r="M128" s="42"/>
      <c r="N128" s="42" t="s">
        <v>20</v>
      </c>
      <c r="O128" s="83">
        <v>3.4738711788351875E-2</v>
      </c>
    </row>
    <row r="129" spans="1:15" x14ac:dyDescent="0.3">
      <c r="A129" s="41" t="s">
        <v>162</v>
      </c>
      <c r="B129" s="42" t="s">
        <v>13</v>
      </c>
      <c r="C129" s="43">
        <v>45344</v>
      </c>
      <c r="D129" s="42" t="s">
        <v>14</v>
      </c>
      <c r="E129" s="42" t="s">
        <v>24</v>
      </c>
      <c r="F129" s="113">
        <v>1902</v>
      </c>
      <c r="G129" s="113">
        <v>394</v>
      </c>
      <c r="H129" s="113">
        <v>279</v>
      </c>
      <c r="I129" s="113">
        <v>24615</v>
      </c>
      <c r="J129" s="113">
        <v>51330</v>
      </c>
      <c r="K129" s="113">
        <v>176</v>
      </c>
      <c r="L129" s="42" t="s">
        <v>40</v>
      </c>
      <c r="M129" s="42" t="s">
        <v>37</v>
      </c>
      <c r="N129" s="42" t="s">
        <v>16</v>
      </c>
      <c r="O129" s="83">
        <v>0.10461100954702417</v>
      </c>
    </row>
    <row r="130" spans="1:15" x14ac:dyDescent="0.3">
      <c r="A130" s="41" t="s">
        <v>163</v>
      </c>
      <c r="B130" s="42" t="s">
        <v>22</v>
      </c>
      <c r="C130" s="43">
        <v>45839</v>
      </c>
      <c r="D130" s="42" t="s">
        <v>23</v>
      </c>
      <c r="E130" s="42" t="s">
        <v>18</v>
      </c>
      <c r="F130" s="113">
        <v>3219</v>
      </c>
      <c r="G130" s="113">
        <v>424</v>
      </c>
      <c r="H130" s="113">
        <v>267</v>
      </c>
      <c r="I130" s="113">
        <v>48879</v>
      </c>
      <c r="J130" s="113">
        <v>37691</v>
      </c>
      <c r="K130" s="113">
        <v>224</v>
      </c>
      <c r="L130" s="42" t="s">
        <v>19</v>
      </c>
      <c r="M130" s="42" t="s">
        <v>337</v>
      </c>
      <c r="N130" s="42" t="s">
        <v>16</v>
      </c>
      <c r="O130" s="83">
        <v>7.9993453221219743E-2</v>
      </c>
    </row>
    <row r="131" spans="1:15" x14ac:dyDescent="0.3">
      <c r="A131" s="44" t="s">
        <v>164</v>
      </c>
      <c r="B131" s="45" t="s">
        <v>28</v>
      </c>
      <c r="C131" s="46">
        <v>45301</v>
      </c>
      <c r="D131" s="45" t="s">
        <v>14</v>
      </c>
      <c r="E131" s="45" t="s">
        <v>18</v>
      </c>
      <c r="F131" s="114">
        <v>1261</v>
      </c>
      <c r="G131" s="114">
        <v>190</v>
      </c>
      <c r="H131" s="114">
        <v>233</v>
      </c>
      <c r="I131" s="114">
        <v>59888</v>
      </c>
      <c r="J131" s="114">
        <v>51449</v>
      </c>
      <c r="K131" s="114">
        <v>205</v>
      </c>
      <c r="L131" s="45" t="s">
        <v>19</v>
      </c>
      <c r="M131" s="45" t="s">
        <v>338</v>
      </c>
      <c r="N131" s="45" t="s">
        <v>20</v>
      </c>
      <c r="O131" s="84">
        <v>2.811915575741384E-2</v>
      </c>
    </row>
    <row r="132" spans="1:15" x14ac:dyDescent="0.3">
      <c r="A132" s="44" t="s">
        <v>165</v>
      </c>
      <c r="B132" s="45" t="s">
        <v>22</v>
      </c>
      <c r="C132" s="46">
        <v>45736</v>
      </c>
      <c r="D132" s="45" t="s">
        <v>14</v>
      </c>
      <c r="E132" s="45" t="s">
        <v>46</v>
      </c>
      <c r="F132" s="114">
        <v>1564</v>
      </c>
      <c r="G132" s="114">
        <v>362</v>
      </c>
      <c r="H132" s="114">
        <v>371</v>
      </c>
      <c r="I132" s="114">
        <v>42075</v>
      </c>
      <c r="J132" s="114">
        <v>66659</v>
      </c>
      <c r="K132" s="114">
        <v>205</v>
      </c>
      <c r="L132" s="45" t="s">
        <v>40</v>
      </c>
      <c r="M132" s="45"/>
      <c r="N132" s="45" t="s">
        <v>20</v>
      </c>
      <c r="O132" s="84">
        <v>5.4592988710635768E-2</v>
      </c>
    </row>
    <row r="133" spans="1:15" x14ac:dyDescent="0.3">
      <c r="A133" s="44" t="s">
        <v>166</v>
      </c>
      <c r="B133" s="45" t="s">
        <v>22</v>
      </c>
      <c r="C133" s="46">
        <v>45563</v>
      </c>
      <c r="D133" s="45" t="s">
        <v>14</v>
      </c>
      <c r="E133" s="45" t="s">
        <v>31</v>
      </c>
      <c r="F133" s="114">
        <v>4006</v>
      </c>
      <c r="G133" s="114">
        <v>420</v>
      </c>
      <c r="H133" s="114">
        <v>194</v>
      </c>
      <c r="I133" s="114">
        <v>49964</v>
      </c>
      <c r="J133" s="114">
        <v>20685</v>
      </c>
      <c r="K133" s="114">
        <v>148</v>
      </c>
      <c r="L133" s="45" t="s">
        <v>37</v>
      </c>
      <c r="M133" s="45"/>
      <c r="N133" s="45" t="s">
        <v>16</v>
      </c>
      <c r="O133" s="84">
        <v>9.2466575934672959E-2</v>
      </c>
    </row>
    <row r="134" spans="1:15" x14ac:dyDescent="0.3">
      <c r="A134" s="44" t="s">
        <v>167</v>
      </c>
      <c r="B134" s="45" t="s">
        <v>28</v>
      </c>
      <c r="C134" s="46">
        <v>45318</v>
      </c>
      <c r="D134" s="45" t="s">
        <v>14</v>
      </c>
      <c r="E134" s="45" t="s">
        <v>46</v>
      </c>
      <c r="F134" s="114">
        <v>1976</v>
      </c>
      <c r="G134" s="114">
        <v>262</v>
      </c>
      <c r="H134" s="114">
        <v>218</v>
      </c>
      <c r="I134" s="114">
        <v>51696</v>
      </c>
      <c r="J134" s="114">
        <v>44846</v>
      </c>
      <c r="K134" s="114">
        <v>139</v>
      </c>
      <c r="L134" s="45" t="s">
        <v>19</v>
      </c>
      <c r="M134" s="45" t="s">
        <v>338</v>
      </c>
      <c r="N134" s="45" t="s">
        <v>20</v>
      </c>
      <c r="O134" s="84">
        <v>4.7508511296812134E-2</v>
      </c>
    </row>
    <row r="135" spans="1:15" x14ac:dyDescent="0.3">
      <c r="A135" s="41" t="s">
        <v>168</v>
      </c>
      <c r="B135" s="42" t="s">
        <v>22</v>
      </c>
      <c r="C135" s="43">
        <v>45792</v>
      </c>
      <c r="D135" s="42" t="s">
        <v>14</v>
      </c>
      <c r="E135" s="42" t="s">
        <v>24</v>
      </c>
      <c r="F135" s="113">
        <v>1583</v>
      </c>
      <c r="G135" s="113">
        <v>433</v>
      </c>
      <c r="H135" s="113">
        <v>249</v>
      </c>
      <c r="I135" s="113">
        <v>30256</v>
      </c>
      <c r="J135" s="113">
        <v>47066</v>
      </c>
      <c r="K135" s="113">
        <v>196</v>
      </c>
      <c r="L135" s="42" t="s">
        <v>37</v>
      </c>
      <c r="M135" s="42"/>
      <c r="N135" s="42" t="s">
        <v>16</v>
      </c>
      <c r="O135" s="83">
        <v>7.4861184558434685E-2</v>
      </c>
    </row>
    <row r="136" spans="1:15" x14ac:dyDescent="0.3">
      <c r="A136" s="41" t="s">
        <v>169</v>
      </c>
      <c r="B136" s="42" t="s">
        <v>22</v>
      </c>
      <c r="C136" s="43">
        <v>45569</v>
      </c>
      <c r="D136" s="42" t="s">
        <v>23</v>
      </c>
      <c r="E136" s="42" t="s">
        <v>18</v>
      </c>
      <c r="F136" s="113">
        <v>2870</v>
      </c>
      <c r="G136" s="113">
        <v>380</v>
      </c>
      <c r="H136" s="113">
        <v>393</v>
      </c>
      <c r="I136" s="113">
        <v>37621</v>
      </c>
      <c r="J136" s="113">
        <v>71794</v>
      </c>
      <c r="K136" s="113">
        <v>127</v>
      </c>
      <c r="L136" s="42" t="s">
        <v>337</v>
      </c>
      <c r="M136" s="42" t="s">
        <v>37</v>
      </c>
      <c r="N136" s="42" t="s">
        <v>16</v>
      </c>
      <c r="O136" s="83">
        <v>9.6834214933149046E-2</v>
      </c>
    </row>
    <row r="137" spans="1:15" x14ac:dyDescent="0.3">
      <c r="A137" s="41" t="s">
        <v>170</v>
      </c>
      <c r="B137" s="42" t="s">
        <v>22</v>
      </c>
      <c r="C137" s="43">
        <v>45615</v>
      </c>
      <c r="D137" s="42" t="s">
        <v>14</v>
      </c>
      <c r="E137" s="42" t="s">
        <v>36</v>
      </c>
      <c r="F137" s="113">
        <v>3728</v>
      </c>
      <c r="G137" s="113">
        <v>271</v>
      </c>
      <c r="H137" s="113">
        <v>275</v>
      </c>
      <c r="I137" s="113">
        <v>22827</v>
      </c>
      <c r="J137" s="113">
        <v>37034</v>
      </c>
      <c r="K137" s="113">
        <v>199</v>
      </c>
      <c r="L137" s="42" t="s">
        <v>37</v>
      </c>
      <c r="M137" s="42"/>
      <c r="N137" s="42" t="s">
        <v>16</v>
      </c>
      <c r="O137" s="83">
        <v>0.18723441538528934</v>
      </c>
    </row>
    <row r="138" spans="1:15" x14ac:dyDescent="0.3">
      <c r="A138" s="41" t="s">
        <v>171</v>
      </c>
      <c r="B138" s="42" t="s">
        <v>22</v>
      </c>
      <c r="C138" s="43">
        <v>45387</v>
      </c>
      <c r="D138" s="42" t="s">
        <v>23</v>
      </c>
      <c r="E138" s="42" t="s">
        <v>24</v>
      </c>
      <c r="F138" s="113">
        <v>4965</v>
      </c>
      <c r="G138" s="113">
        <v>175</v>
      </c>
      <c r="H138" s="113">
        <v>307</v>
      </c>
      <c r="I138" s="113">
        <v>32793</v>
      </c>
      <c r="J138" s="113">
        <v>43412</v>
      </c>
      <c r="K138" s="113">
        <v>296</v>
      </c>
      <c r="L138" s="42" t="s">
        <v>40</v>
      </c>
      <c r="M138" s="42" t="s">
        <v>37</v>
      </c>
      <c r="N138" s="42" t="s">
        <v>16</v>
      </c>
      <c r="O138" s="83">
        <v>0.16610252187966945</v>
      </c>
    </row>
    <row r="139" spans="1:15" x14ac:dyDescent="0.3">
      <c r="A139" s="41" t="s">
        <v>172</v>
      </c>
      <c r="B139" s="42" t="s">
        <v>22</v>
      </c>
      <c r="C139" s="43">
        <v>45624</v>
      </c>
      <c r="D139" s="42" t="s">
        <v>23</v>
      </c>
      <c r="E139" s="42" t="s">
        <v>24</v>
      </c>
      <c r="F139" s="113">
        <v>1131</v>
      </c>
      <c r="G139" s="113">
        <v>100</v>
      </c>
      <c r="H139" s="113">
        <v>116</v>
      </c>
      <c r="I139" s="113">
        <v>48437</v>
      </c>
      <c r="J139" s="113">
        <v>72704</v>
      </c>
      <c r="K139" s="113">
        <v>236</v>
      </c>
      <c r="L139" s="42" t="s">
        <v>19</v>
      </c>
      <c r="M139" s="42" t="s">
        <v>337</v>
      </c>
      <c r="N139" s="42" t="s">
        <v>16</v>
      </c>
      <c r="O139" s="83">
        <v>2.7809319322005904E-2</v>
      </c>
    </row>
    <row r="140" spans="1:15" x14ac:dyDescent="0.3">
      <c r="A140" s="41" t="s">
        <v>173</v>
      </c>
      <c r="B140" s="42" t="s">
        <v>22</v>
      </c>
      <c r="C140" s="43">
        <v>45725</v>
      </c>
      <c r="D140" s="42" t="s">
        <v>14</v>
      </c>
      <c r="E140" s="42" t="s">
        <v>46</v>
      </c>
      <c r="F140" s="113">
        <v>2754</v>
      </c>
      <c r="G140" s="113">
        <v>215</v>
      </c>
      <c r="H140" s="113">
        <v>264</v>
      </c>
      <c r="I140" s="113">
        <v>27762</v>
      </c>
      <c r="J140" s="113">
        <v>70203</v>
      </c>
      <c r="K140" s="113">
        <v>289</v>
      </c>
      <c r="L140" s="42" t="s">
        <v>37</v>
      </c>
      <c r="M140" s="42"/>
      <c r="N140" s="42" t="s">
        <v>16</v>
      </c>
      <c r="O140" s="83">
        <v>0.11645414595490239</v>
      </c>
    </row>
    <row r="141" spans="1:15" x14ac:dyDescent="0.3">
      <c r="A141" s="44" t="s">
        <v>174</v>
      </c>
      <c r="B141" s="45" t="s">
        <v>22</v>
      </c>
      <c r="C141" s="46">
        <v>45531</v>
      </c>
      <c r="D141" s="45" t="s">
        <v>23</v>
      </c>
      <c r="E141" s="45" t="s">
        <v>24</v>
      </c>
      <c r="F141" s="114">
        <v>1856</v>
      </c>
      <c r="G141" s="114">
        <v>357</v>
      </c>
      <c r="H141" s="114">
        <v>348</v>
      </c>
      <c r="I141" s="114">
        <v>29428</v>
      </c>
      <c r="J141" s="114">
        <v>70206</v>
      </c>
      <c r="K141" s="114">
        <v>236</v>
      </c>
      <c r="L141" s="45" t="s">
        <v>337</v>
      </c>
      <c r="M141" s="45" t="s">
        <v>37</v>
      </c>
      <c r="N141" s="45" t="s">
        <v>16</v>
      </c>
      <c r="O141" s="84">
        <v>8.702596166915863E-2</v>
      </c>
    </row>
    <row r="142" spans="1:15" x14ac:dyDescent="0.3">
      <c r="A142" s="41" t="s">
        <v>175</v>
      </c>
      <c r="B142" s="42" t="s">
        <v>28</v>
      </c>
      <c r="C142" s="43">
        <v>45566</v>
      </c>
      <c r="D142" s="42" t="s">
        <v>52</v>
      </c>
      <c r="E142" s="42" t="s">
        <v>18</v>
      </c>
      <c r="F142" s="113">
        <v>3543</v>
      </c>
      <c r="G142" s="113">
        <v>334</v>
      </c>
      <c r="H142" s="113">
        <v>218</v>
      </c>
      <c r="I142" s="113">
        <v>58007</v>
      </c>
      <c r="J142" s="113">
        <v>24792</v>
      </c>
      <c r="K142" s="113">
        <v>273</v>
      </c>
      <c r="L142" s="42" t="s">
        <v>19</v>
      </c>
      <c r="M142" s="42" t="s">
        <v>40</v>
      </c>
      <c r="N142" s="42" t="s">
        <v>53</v>
      </c>
      <c r="O142" s="83">
        <v>7.0594928198320889E-2</v>
      </c>
    </row>
    <row r="143" spans="1:15" x14ac:dyDescent="0.3">
      <c r="A143" s="41" t="s">
        <v>176</v>
      </c>
      <c r="B143" s="42" t="s">
        <v>13</v>
      </c>
      <c r="C143" s="43">
        <v>45647</v>
      </c>
      <c r="D143" s="42" t="s">
        <v>23</v>
      </c>
      <c r="E143" s="42" t="s">
        <v>24</v>
      </c>
      <c r="F143" s="113">
        <v>4563</v>
      </c>
      <c r="G143" s="113">
        <v>398</v>
      </c>
      <c r="H143" s="113">
        <v>163</v>
      </c>
      <c r="I143" s="113">
        <v>43679</v>
      </c>
      <c r="J143" s="113">
        <v>48760</v>
      </c>
      <c r="K143" s="113">
        <v>92</v>
      </c>
      <c r="L143" s="42" t="s">
        <v>37</v>
      </c>
      <c r="M143" s="42"/>
      <c r="N143" s="42" t="s">
        <v>50</v>
      </c>
      <c r="O143" s="83">
        <v>0.11731037798484398</v>
      </c>
    </row>
    <row r="144" spans="1:15" x14ac:dyDescent="0.3">
      <c r="A144" s="41" t="s">
        <v>177</v>
      </c>
      <c r="B144" s="42" t="s">
        <v>13</v>
      </c>
      <c r="C144" s="43">
        <v>45460</v>
      </c>
      <c r="D144" s="42" t="s">
        <v>14</v>
      </c>
      <c r="E144" s="42" t="s">
        <v>15</v>
      </c>
      <c r="F144" s="113">
        <v>4283</v>
      </c>
      <c r="G144" s="113">
        <v>471</v>
      </c>
      <c r="H144" s="113">
        <v>156</v>
      </c>
      <c r="I144" s="113">
        <v>53004</v>
      </c>
      <c r="J144" s="113">
        <v>25678</v>
      </c>
      <c r="K144" s="113">
        <v>105</v>
      </c>
      <c r="L144" s="42" t="s">
        <v>19</v>
      </c>
      <c r="M144" s="42"/>
      <c r="N144" s="42" t="s">
        <v>20</v>
      </c>
      <c r="O144" s="83">
        <v>9.2634518149573616E-2</v>
      </c>
    </row>
    <row r="145" spans="1:15" x14ac:dyDescent="0.3">
      <c r="A145" s="44" t="s">
        <v>178</v>
      </c>
      <c r="B145" s="45" t="s">
        <v>13</v>
      </c>
      <c r="C145" s="46">
        <v>45702</v>
      </c>
      <c r="D145" s="45" t="s">
        <v>14</v>
      </c>
      <c r="E145" s="45" t="s">
        <v>15</v>
      </c>
      <c r="F145" s="114">
        <v>2329</v>
      </c>
      <c r="G145" s="114">
        <v>373</v>
      </c>
      <c r="H145" s="114">
        <v>291</v>
      </c>
      <c r="I145" s="114">
        <v>49577</v>
      </c>
      <c r="J145" s="114">
        <v>28002</v>
      </c>
      <c r="K145" s="114">
        <v>82</v>
      </c>
      <c r="L145" s="45" t="s">
        <v>40</v>
      </c>
      <c r="M145" s="45" t="s">
        <v>37</v>
      </c>
      <c r="N145" s="45" t="s">
        <v>16</v>
      </c>
      <c r="O145" s="84">
        <v>6.0370736430199488E-2</v>
      </c>
    </row>
    <row r="146" spans="1:15" x14ac:dyDescent="0.3">
      <c r="A146" s="41" t="s">
        <v>179</v>
      </c>
      <c r="B146" s="42" t="s">
        <v>22</v>
      </c>
      <c r="C146" s="43">
        <v>45805</v>
      </c>
      <c r="D146" s="42" t="s">
        <v>23</v>
      </c>
      <c r="E146" s="42" t="s">
        <v>36</v>
      </c>
      <c r="F146" s="113">
        <v>4287</v>
      </c>
      <c r="G146" s="113">
        <v>273</v>
      </c>
      <c r="H146" s="113">
        <v>122</v>
      </c>
      <c r="I146" s="113">
        <v>40792</v>
      </c>
      <c r="J146" s="113">
        <v>23878</v>
      </c>
      <c r="K146" s="113">
        <v>277</v>
      </c>
      <c r="L146" s="42" t="s">
        <v>337</v>
      </c>
      <c r="M146" s="42" t="s">
        <v>37</v>
      </c>
      <c r="N146" s="42" t="s">
        <v>16</v>
      </c>
      <c r="O146" s="83">
        <v>0.11477740733477153</v>
      </c>
    </row>
    <row r="147" spans="1:15" x14ac:dyDescent="0.3">
      <c r="A147" s="44" t="s">
        <v>180</v>
      </c>
      <c r="B147" s="45" t="s">
        <v>13</v>
      </c>
      <c r="C147" s="46">
        <v>45799</v>
      </c>
      <c r="D147" s="45" t="s">
        <v>14</v>
      </c>
      <c r="E147" s="45" t="s">
        <v>15</v>
      </c>
      <c r="F147" s="114">
        <v>2633</v>
      </c>
      <c r="G147" s="114">
        <v>318</v>
      </c>
      <c r="H147" s="114">
        <v>380</v>
      </c>
      <c r="I147" s="114">
        <v>40869</v>
      </c>
      <c r="J147" s="114">
        <v>64474</v>
      </c>
      <c r="K147" s="114">
        <v>245</v>
      </c>
      <c r="L147" s="45" t="s">
        <v>19</v>
      </c>
      <c r="M147" s="45"/>
      <c r="N147" s="45" t="s">
        <v>20</v>
      </c>
      <c r="O147" s="84">
        <v>8.1504318676747664E-2</v>
      </c>
    </row>
    <row r="148" spans="1:15" x14ac:dyDescent="0.3">
      <c r="A148" s="44" t="s">
        <v>181</v>
      </c>
      <c r="B148" s="45" t="s">
        <v>22</v>
      </c>
      <c r="C148" s="46">
        <v>45312</v>
      </c>
      <c r="D148" s="45" t="s">
        <v>23</v>
      </c>
      <c r="E148" s="45" t="s">
        <v>15</v>
      </c>
      <c r="F148" s="114">
        <v>2383</v>
      </c>
      <c r="G148" s="114">
        <v>136</v>
      </c>
      <c r="H148" s="114">
        <v>302</v>
      </c>
      <c r="I148" s="114">
        <v>39187</v>
      </c>
      <c r="J148" s="114">
        <v>22133</v>
      </c>
      <c r="K148" s="114">
        <v>208</v>
      </c>
      <c r="L148" s="45" t="s">
        <v>337</v>
      </c>
      <c r="M148" s="45" t="s">
        <v>37</v>
      </c>
      <c r="N148" s="45" t="s">
        <v>16</v>
      </c>
      <c r="O148" s="84">
        <v>7.1988159338556151E-2</v>
      </c>
    </row>
    <row r="149" spans="1:15" x14ac:dyDescent="0.3">
      <c r="A149" s="44" t="s">
        <v>182</v>
      </c>
      <c r="B149" s="45" t="s">
        <v>22</v>
      </c>
      <c r="C149" s="46">
        <v>45696</v>
      </c>
      <c r="D149" s="45" t="s">
        <v>23</v>
      </c>
      <c r="E149" s="45" t="s">
        <v>46</v>
      </c>
      <c r="F149" s="114">
        <v>4752</v>
      </c>
      <c r="G149" s="114">
        <v>334</v>
      </c>
      <c r="H149" s="114">
        <v>56</v>
      </c>
      <c r="I149" s="114">
        <v>48017</v>
      </c>
      <c r="J149" s="114">
        <v>55534</v>
      </c>
      <c r="K149" s="114">
        <v>270</v>
      </c>
      <c r="L149" s="45" t="s">
        <v>19</v>
      </c>
      <c r="M149" s="45" t="s">
        <v>337</v>
      </c>
      <c r="N149" s="45" t="s">
        <v>16</v>
      </c>
      <c r="O149" s="84">
        <v>0.10708707332819627</v>
      </c>
    </row>
    <row r="150" spans="1:15" x14ac:dyDescent="0.3">
      <c r="A150" s="41" t="s">
        <v>183</v>
      </c>
      <c r="B150" s="42" t="s">
        <v>22</v>
      </c>
      <c r="C150" s="43">
        <v>45760</v>
      </c>
      <c r="D150" s="42" t="s">
        <v>14</v>
      </c>
      <c r="E150" s="42" t="s">
        <v>44</v>
      </c>
      <c r="F150" s="113">
        <v>3890</v>
      </c>
      <c r="G150" s="113">
        <v>408</v>
      </c>
      <c r="H150" s="113">
        <v>338</v>
      </c>
      <c r="I150" s="113">
        <v>56994</v>
      </c>
      <c r="J150" s="113">
        <v>32621</v>
      </c>
      <c r="K150" s="113">
        <v>286</v>
      </c>
      <c r="L150" s="42" t="s">
        <v>40</v>
      </c>
      <c r="M150" s="42"/>
      <c r="N150" s="42" t="s">
        <v>20</v>
      </c>
      <c r="O150" s="83">
        <v>8.1341895638137346E-2</v>
      </c>
    </row>
    <row r="151" spans="1:15" x14ac:dyDescent="0.3">
      <c r="A151" s="44" t="s">
        <v>184</v>
      </c>
      <c r="B151" s="45" t="s">
        <v>22</v>
      </c>
      <c r="C151" s="46">
        <v>45442</v>
      </c>
      <c r="D151" s="45" t="s">
        <v>23</v>
      </c>
      <c r="E151" s="45" t="s">
        <v>46</v>
      </c>
      <c r="F151" s="114">
        <v>2311</v>
      </c>
      <c r="G151" s="114">
        <v>207</v>
      </c>
      <c r="H151" s="114">
        <v>363</v>
      </c>
      <c r="I151" s="114">
        <v>30349</v>
      </c>
      <c r="J151" s="114">
        <v>32925</v>
      </c>
      <c r="K151" s="114">
        <v>88</v>
      </c>
      <c r="L151" s="45" t="s">
        <v>337</v>
      </c>
      <c r="M151" s="45" t="s">
        <v>37</v>
      </c>
      <c r="N151" s="45" t="s">
        <v>16</v>
      </c>
      <c r="O151" s="84">
        <v>9.4928992718046723E-2</v>
      </c>
    </row>
    <row r="152" spans="1:15" x14ac:dyDescent="0.3">
      <c r="A152" s="44" t="s">
        <v>185</v>
      </c>
      <c r="B152" s="45" t="s">
        <v>13</v>
      </c>
      <c r="C152" s="46">
        <v>45516</v>
      </c>
      <c r="D152" s="45" t="s">
        <v>23</v>
      </c>
      <c r="E152" s="45" t="s">
        <v>15</v>
      </c>
      <c r="F152" s="114">
        <v>2962</v>
      </c>
      <c r="G152" s="114">
        <v>400</v>
      </c>
      <c r="H152" s="114">
        <v>280</v>
      </c>
      <c r="I152" s="114">
        <v>52508</v>
      </c>
      <c r="J152" s="114">
        <v>58329</v>
      </c>
      <c r="K152" s="114">
        <v>219</v>
      </c>
      <c r="L152" s="45" t="s">
        <v>37</v>
      </c>
      <c r="M152" s="45"/>
      <c r="N152" s="45" t="s">
        <v>50</v>
      </c>
      <c r="O152" s="84">
        <v>6.9360859297630834E-2</v>
      </c>
    </row>
    <row r="153" spans="1:15" x14ac:dyDescent="0.3">
      <c r="A153" s="41" t="s">
        <v>186</v>
      </c>
      <c r="B153" s="42" t="s">
        <v>13</v>
      </c>
      <c r="C153" s="43">
        <v>45562</v>
      </c>
      <c r="D153" s="42" t="s">
        <v>14</v>
      </c>
      <c r="E153" s="42" t="s">
        <v>15</v>
      </c>
      <c r="F153" s="113">
        <v>3118</v>
      </c>
      <c r="G153" s="113">
        <v>116</v>
      </c>
      <c r="H153" s="113">
        <v>195</v>
      </c>
      <c r="I153" s="113">
        <v>37100</v>
      </c>
      <c r="J153" s="113">
        <v>62629</v>
      </c>
      <c r="K153" s="113">
        <v>272</v>
      </c>
      <c r="L153" s="42" t="s">
        <v>19</v>
      </c>
      <c r="M153" s="42"/>
      <c r="N153" s="42" t="s">
        <v>20</v>
      </c>
      <c r="O153" s="83">
        <v>9.2425876010781671E-2</v>
      </c>
    </row>
    <row r="154" spans="1:15" x14ac:dyDescent="0.3">
      <c r="A154" s="44" t="s">
        <v>187</v>
      </c>
      <c r="B154" s="45" t="s">
        <v>22</v>
      </c>
      <c r="C154" s="46">
        <v>45819</v>
      </c>
      <c r="D154" s="45" t="s">
        <v>23</v>
      </c>
      <c r="E154" s="45" t="s">
        <v>18</v>
      </c>
      <c r="F154" s="114">
        <v>3805</v>
      </c>
      <c r="G154" s="114">
        <v>453</v>
      </c>
      <c r="H154" s="114">
        <v>63</v>
      </c>
      <c r="I154" s="114">
        <v>52395</v>
      </c>
      <c r="J154" s="114">
        <v>72934</v>
      </c>
      <c r="K154" s="114">
        <v>87</v>
      </c>
      <c r="L154" s="45" t="s">
        <v>19</v>
      </c>
      <c r="M154" s="45" t="s">
        <v>337</v>
      </c>
      <c r="N154" s="45" t="s">
        <v>16</v>
      </c>
      <c r="O154" s="84">
        <v>8.2469701307376658E-2</v>
      </c>
    </row>
    <row r="155" spans="1:15" x14ac:dyDescent="0.3">
      <c r="A155" s="41" t="s">
        <v>188</v>
      </c>
      <c r="B155" s="42" t="s">
        <v>13</v>
      </c>
      <c r="C155" s="43">
        <v>45615</v>
      </c>
      <c r="D155" s="42" t="s">
        <v>14</v>
      </c>
      <c r="E155" s="42" t="s">
        <v>31</v>
      </c>
      <c r="F155" s="113">
        <v>2525</v>
      </c>
      <c r="G155" s="113">
        <v>272</v>
      </c>
      <c r="H155" s="113">
        <v>294</v>
      </c>
      <c r="I155" s="113">
        <v>51875</v>
      </c>
      <c r="J155" s="113">
        <v>24732</v>
      </c>
      <c r="K155" s="113">
        <v>92</v>
      </c>
      <c r="L155" s="42" t="s">
        <v>19</v>
      </c>
      <c r="M155" s="42"/>
      <c r="N155" s="42" t="s">
        <v>20</v>
      </c>
      <c r="O155" s="83">
        <v>5.9585542168674697E-2</v>
      </c>
    </row>
    <row r="156" spans="1:15" x14ac:dyDescent="0.3">
      <c r="A156" s="44" t="s">
        <v>189</v>
      </c>
      <c r="B156" s="45" t="s">
        <v>13</v>
      </c>
      <c r="C156" s="46">
        <v>45407</v>
      </c>
      <c r="D156" s="45" t="s">
        <v>14</v>
      </c>
      <c r="E156" s="45" t="s">
        <v>29</v>
      </c>
      <c r="F156" s="114">
        <v>3563</v>
      </c>
      <c r="G156" s="114">
        <v>483</v>
      </c>
      <c r="H156" s="114">
        <v>227</v>
      </c>
      <c r="I156" s="114">
        <v>41085</v>
      </c>
      <c r="J156" s="114">
        <v>26393</v>
      </c>
      <c r="K156" s="114">
        <v>236</v>
      </c>
      <c r="L156" s="45" t="s">
        <v>40</v>
      </c>
      <c r="M156" s="45" t="s">
        <v>37</v>
      </c>
      <c r="N156" s="45" t="s">
        <v>16</v>
      </c>
      <c r="O156" s="84">
        <v>0.10400389436534015</v>
      </c>
    </row>
    <row r="157" spans="1:15" x14ac:dyDescent="0.3">
      <c r="A157" s="41" t="s">
        <v>190</v>
      </c>
      <c r="B157" s="42" t="s">
        <v>28</v>
      </c>
      <c r="C157" s="43">
        <v>45538</v>
      </c>
      <c r="D157" s="42" t="s">
        <v>52</v>
      </c>
      <c r="E157" s="42" t="s">
        <v>31</v>
      </c>
      <c r="F157" s="113">
        <v>1437</v>
      </c>
      <c r="G157" s="113">
        <v>494</v>
      </c>
      <c r="H157" s="113">
        <v>129</v>
      </c>
      <c r="I157" s="113">
        <v>53048</v>
      </c>
      <c r="J157" s="113">
        <v>44090</v>
      </c>
      <c r="K157" s="113">
        <v>230</v>
      </c>
      <c r="L157" s="42" t="s">
        <v>19</v>
      </c>
      <c r="M157" s="42" t="s">
        <v>40</v>
      </c>
      <c r="N157" s="42" t="s">
        <v>53</v>
      </c>
      <c r="O157" s="83">
        <v>3.8832755240536872E-2</v>
      </c>
    </row>
    <row r="158" spans="1:15" x14ac:dyDescent="0.3">
      <c r="A158" s="41" t="s">
        <v>191</v>
      </c>
      <c r="B158" s="42" t="s">
        <v>28</v>
      </c>
      <c r="C158" s="43">
        <v>45718</v>
      </c>
      <c r="D158" s="42" t="s">
        <v>14</v>
      </c>
      <c r="E158" s="42" t="s">
        <v>44</v>
      </c>
      <c r="F158" s="113">
        <v>4425</v>
      </c>
      <c r="G158" s="113">
        <v>185</v>
      </c>
      <c r="H158" s="113">
        <v>162</v>
      </c>
      <c r="I158" s="113">
        <v>24610</v>
      </c>
      <c r="J158" s="113">
        <v>21342</v>
      </c>
      <c r="K158" s="113">
        <v>158</v>
      </c>
      <c r="L158" s="42" t="s">
        <v>19</v>
      </c>
      <c r="M158" s="42" t="s">
        <v>338</v>
      </c>
      <c r="N158" s="42" t="s">
        <v>20</v>
      </c>
      <c r="O158" s="83">
        <v>0.19390491670052823</v>
      </c>
    </row>
    <row r="159" spans="1:15" x14ac:dyDescent="0.3">
      <c r="A159" s="41" t="s">
        <v>192</v>
      </c>
      <c r="B159" s="42" t="s">
        <v>22</v>
      </c>
      <c r="C159" s="43">
        <v>45737</v>
      </c>
      <c r="D159" s="42" t="s">
        <v>23</v>
      </c>
      <c r="E159" s="42" t="s">
        <v>24</v>
      </c>
      <c r="F159" s="113">
        <v>4609</v>
      </c>
      <c r="G159" s="113">
        <v>427</v>
      </c>
      <c r="H159" s="113">
        <v>395</v>
      </c>
      <c r="I159" s="113">
        <v>33698</v>
      </c>
      <c r="J159" s="113">
        <v>29259</v>
      </c>
      <c r="K159" s="113">
        <v>216</v>
      </c>
      <c r="L159" s="42" t="s">
        <v>19</v>
      </c>
      <c r="M159" s="42" t="s">
        <v>337</v>
      </c>
      <c r="N159" s="42" t="s">
        <v>16</v>
      </c>
      <c r="O159" s="83">
        <v>0.16116683482699271</v>
      </c>
    </row>
    <row r="160" spans="1:15" x14ac:dyDescent="0.3">
      <c r="A160" s="44" t="s">
        <v>193</v>
      </c>
      <c r="B160" s="45" t="s">
        <v>13</v>
      </c>
      <c r="C160" s="46">
        <v>45394</v>
      </c>
      <c r="D160" s="45" t="s">
        <v>23</v>
      </c>
      <c r="E160" s="45" t="s">
        <v>33</v>
      </c>
      <c r="F160" s="114">
        <v>1558</v>
      </c>
      <c r="G160" s="114">
        <v>352</v>
      </c>
      <c r="H160" s="114">
        <v>202</v>
      </c>
      <c r="I160" s="114">
        <v>25405</v>
      </c>
      <c r="J160" s="114">
        <v>69941</v>
      </c>
      <c r="K160" s="114">
        <v>219</v>
      </c>
      <c r="L160" s="45" t="s">
        <v>37</v>
      </c>
      <c r="M160" s="45"/>
      <c r="N160" s="45" t="s">
        <v>50</v>
      </c>
      <c r="O160" s="84">
        <v>8.3133241487896081E-2</v>
      </c>
    </row>
    <row r="161" spans="1:15" x14ac:dyDescent="0.3">
      <c r="A161" s="41" t="s">
        <v>194</v>
      </c>
      <c r="B161" s="42" t="s">
        <v>28</v>
      </c>
      <c r="C161" s="43">
        <v>45330</v>
      </c>
      <c r="D161" s="42" t="s">
        <v>52</v>
      </c>
      <c r="E161" s="42" t="s">
        <v>36</v>
      </c>
      <c r="F161" s="113">
        <v>1889</v>
      </c>
      <c r="G161" s="113">
        <v>298</v>
      </c>
      <c r="H161" s="113">
        <v>122</v>
      </c>
      <c r="I161" s="113">
        <v>46225</v>
      </c>
      <c r="J161" s="113">
        <v>74305</v>
      </c>
      <c r="K161" s="113">
        <v>293</v>
      </c>
      <c r="L161" s="42" t="s">
        <v>19</v>
      </c>
      <c r="M161" s="42" t="s">
        <v>40</v>
      </c>
      <c r="N161" s="42" t="s">
        <v>53</v>
      </c>
      <c r="O161" s="83">
        <v>4.9951325040562468E-2</v>
      </c>
    </row>
    <row r="162" spans="1:15" x14ac:dyDescent="0.3">
      <c r="A162" s="44" t="s">
        <v>195</v>
      </c>
      <c r="B162" s="45" t="s">
        <v>13</v>
      </c>
      <c r="C162" s="46">
        <v>45803</v>
      </c>
      <c r="D162" s="45" t="s">
        <v>14</v>
      </c>
      <c r="E162" s="45" t="s">
        <v>15</v>
      </c>
      <c r="F162" s="114">
        <v>3086</v>
      </c>
      <c r="G162" s="114">
        <v>148</v>
      </c>
      <c r="H162" s="114">
        <v>310</v>
      </c>
      <c r="I162" s="114">
        <v>22824</v>
      </c>
      <c r="J162" s="114">
        <v>58103</v>
      </c>
      <c r="K162" s="114">
        <v>275</v>
      </c>
      <c r="L162" s="45" t="s">
        <v>19</v>
      </c>
      <c r="M162" s="45"/>
      <c r="N162" s="45" t="s">
        <v>20</v>
      </c>
      <c r="O162" s="84">
        <v>0.1552751489660007</v>
      </c>
    </row>
    <row r="163" spans="1:15" x14ac:dyDescent="0.3">
      <c r="A163" s="44" t="s">
        <v>196</v>
      </c>
      <c r="B163" s="45" t="s">
        <v>13</v>
      </c>
      <c r="C163" s="46">
        <v>45610</v>
      </c>
      <c r="D163" s="45" t="s">
        <v>14</v>
      </c>
      <c r="E163" s="45" t="s">
        <v>29</v>
      </c>
      <c r="F163" s="114">
        <v>2422</v>
      </c>
      <c r="G163" s="114">
        <v>318</v>
      </c>
      <c r="H163" s="114">
        <v>118</v>
      </c>
      <c r="I163" s="114">
        <v>25386</v>
      </c>
      <c r="J163" s="114">
        <v>20873</v>
      </c>
      <c r="K163" s="114">
        <v>100</v>
      </c>
      <c r="L163" s="45" t="s">
        <v>40</v>
      </c>
      <c r="M163" s="45" t="s">
        <v>37</v>
      </c>
      <c r="N163" s="45" t="s">
        <v>16</v>
      </c>
      <c r="O163" s="84">
        <v>0.11258173796580792</v>
      </c>
    </row>
    <row r="164" spans="1:15" x14ac:dyDescent="0.3">
      <c r="A164" s="41" t="s">
        <v>197</v>
      </c>
      <c r="B164" s="42" t="s">
        <v>28</v>
      </c>
      <c r="C164" s="43">
        <v>45513</v>
      </c>
      <c r="D164" s="42" t="s">
        <v>52</v>
      </c>
      <c r="E164" s="42" t="s">
        <v>44</v>
      </c>
      <c r="F164" s="113">
        <v>3414</v>
      </c>
      <c r="G164" s="113">
        <v>154</v>
      </c>
      <c r="H164" s="113">
        <v>204</v>
      </c>
      <c r="I164" s="113">
        <v>34146</v>
      </c>
      <c r="J164" s="113">
        <v>44633</v>
      </c>
      <c r="K164" s="113">
        <v>256</v>
      </c>
      <c r="L164" s="42" t="s">
        <v>19</v>
      </c>
      <c r="M164" s="42" t="s">
        <v>40</v>
      </c>
      <c r="N164" s="42" t="s">
        <v>53</v>
      </c>
      <c r="O164" s="83">
        <v>0.11046681895390383</v>
      </c>
    </row>
    <row r="165" spans="1:15" x14ac:dyDescent="0.3">
      <c r="A165" s="44" t="s">
        <v>198</v>
      </c>
      <c r="B165" s="45" t="s">
        <v>13</v>
      </c>
      <c r="C165" s="46">
        <v>45835</v>
      </c>
      <c r="D165" s="45" t="s">
        <v>23</v>
      </c>
      <c r="E165" s="45" t="s">
        <v>31</v>
      </c>
      <c r="F165" s="114">
        <v>1342</v>
      </c>
      <c r="G165" s="114">
        <v>332</v>
      </c>
      <c r="H165" s="114">
        <v>163</v>
      </c>
      <c r="I165" s="114">
        <v>51712</v>
      </c>
      <c r="J165" s="114">
        <v>57922</v>
      </c>
      <c r="K165" s="114">
        <v>168</v>
      </c>
      <c r="L165" s="45" t="s">
        <v>37</v>
      </c>
      <c r="M165" s="45"/>
      <c r="N165" s="45" t="s">
        <v>50</v>
      </c>
      <c r="O165" s="84">
        <v>3.5523669554455448E-2</v>
      </c>
    </row>
    <row r="166" spans="1:15" x14ac:dyDescent="0.3">
      <c r="A166" s="44" t="s">
        <v>199</v>
      </c>
      <c r="B166" s="45" t="s">
        <v>13</v>
      </c>
      <c r="C166" s="46">
        <v>45420</v>
      </c>
      <c r="D166" s="45" t="s">
        <v>23</v>
      </c>
      <c r="E166" s="45" t="s">
        <v>29</v>
      </c>
      <c r="F166" s="114">
        <v>2414</v>
      </c>
      <c r="G166" s="114">
        <v>220</v>
      </c>
      <c r="H166" s="114">
        <v>280</v>
      </c>
      <c r="I166" s="114">
        <v>27355</v>
      </c>
      <c r="J166" s="114">
        <v>50562</v>
      </c>
      <c r="K166" s="114">
        <v>258</v>
      </c>
      <c r="L166" s="45" t="s">
        <v>37</v>
      </c>
      <c r="M166" s="45"/>
      <c r="N166" s="45" t="s">
        <v>50</v>
      </c>
      <c r="O166" s="84">
        <v>0.10652531529884847</v>
      </c>
    </row>
    <row r="167" spans="1:15" x14ac:dyDescent="0.3">
      <c r="A167" s="44" t="s">
        <v>200</v>
      </c>
      <c r="B167" s="45" t="s">
        <v>13</v>
      </c>
      <c r="C167" s="46">
        <v>45387</v>
      </c>
      <c r="D167" s="45" t="s">
        <v>14</v>
      </c>
      <c r="E167" s="45" t="s">
        <v>24</v>
      </c>
      <c r="F167" s="114">
        <v>4383</v>
      </c>
      <c r="G167" s="114">
        <v>352</v>
      </c>
      <c r="H167" s="114">
        <v>176</v>
      </c>
      <c r="I167" s="114">
        <v>53239</v>
      </c>
      <c r="J167" s="114">
        <v>34168</v>
      </c>
      <c r="K167" s="114">
        <v>288</v>
      </c>
      <c r="L167" s="45" t="s">
        <v>19</v>
      </c>
      <c r="M167" s="45"/>
      <c r="N167" s="45" t="s">
        <v>20</v>
      </c>
      <c r="O167" s="84">
        <v>9.2244407295403744E-2</v>
      </c>
    </row>
    <row r="168" spans="1:15" x14ac:dyDescent="0.3">
      <c r="A168" s="44" t="s">
        <v>201</v>
      </c>
      <c r="B168" s="45" t="s">
        <v>28</v>
      </c>
      <c r="C168" s="46">
        <v>45684</v>
      </c>
      <c r="D168" s="45" t="s">
        <v>14</v>
      </c>
      <c r="E168" s="45" t="s">
        <v>26</v>
      </c>
      <c r="F168" s="114">
        <v>4294</v>
      </c>
      <c r="G168" s="114">
        <v>423</v>
      </c>
      <c r="H168" s="114">
        <v>93</v>
      </c>
      <c r="I168" s="114">
        <v>29828</v>
      </c>
      <c r="J168" s="114">
        <v>73144</v>
      </c>
      <c r="K168" s="114">
        <v>298</v>
      </c>
      <c r="L168" s="45" t="s">
        <v>19</v>
      </c>
      <c r="M168" s="45" t="s">
        <v>338</v>
      </c>
      <c r="N168" s="45" t="s">
        <v>20</v>
      </c>
      <c r="O168" s="84">
        <v>0.1612578785034196</v>
      </c>
    </row>
    <row r="169" spans="1:15" x14ac:dyDescent="0.3">
      <c r="A169" s="44" t="s">
        <v>202</v>
      </c>
      <c r="B169" s="45" t="s">
        <v>13</v>
      </c>
      <c r="C169" s="46">
        <v>45385</v>
      </c>
      <c r="D169" s="45" t="s">
        <v>14</v>
      </c>
      <c r="E169" s="45" t="s">
        <v>36</v>
      </c>
      <c r="F169" s="114">
        <v>2762</v>
      </c>
      <c r="G169" s="114">
        <v>339</v>
      </c>
      <c r="H169" s="114">
        <v>323</v>
      </c>
      <c r="I169" s="114">
        <v>33757</v>
      </c>
      <c r="J169" s="114">
        <v>68511</v>
      </c>
      <c r="K169" s="114">
        <v>121</v>
      </c>
      <c r="L169" s="45" t="s">
        <v>40</v>
      </c>
      <c r="M169" s="45" t="s">
        <v>37</v>
      </c>
      <c r="N169" s="45" t="s">
        <v>16</v>
      </c>
      <c r="O169" s="84">
        <v>0.10143081434961637</v>
      </c>
    </row>
    <row r="170" spans="1:15" x14ac:dyDescent="0.3">
      <c r="A170" s="41" t="s">
        <v>203</v>
      </c>
      <c r="B170" s="42" t="s">
        <v>28</v>
      </c>
      <c r="C170" s="43">
        <v>45660</v>
      </c>
      <c r="D170" s="42" t="s">
        <v>14</v>
      </c>
      <c r="E170" s="42" t="s">
        <v>24</v>
      </c>
      <c r="F170" s="113">
        <v>3782</v>
      </c>
      <c r="G170" s="113">
        <v>484</v>
      </c>
      <c r="H170" s="113">
        <v>144</v>
      </c>
      <c r="I170" s="113">
        <v>52172</v>
      </c>
      <c r="J170" s="113">
        <v>59386</v>
      </c>
      <c r="K170" s="113">
        <v>175</v>
      </c>
      <c r="L170" s="42" t="s">
        <v>19</v>
      </c>
      <c r="M170" s="42" t="s">
        <v>338</v>
      </c>
      <c r="N170" s="42" t="s">
        <v>20</v>
      </c>
      <c r="O170" s="83">
        <v>8.4528099363643333E-2</v>
      </c>
    </row>
    <row r="171" spans="1:15" x14ac:dyDescent="0.3">
      <c r="A171" s="41" t="s">
        <v>204</v>
      </c>
      <c r="B171" s="42" t="s">
        <v>22</v>
      </c>
      <c r="C171" s="43">
        <v>45619</v>
      </c>
      <c r="D171" s="42" t="s">
        <v>14</v>
      </c>
      <c r="E171" s="42" t="s">
        <v>24</v>
      </c>
      <c r="F171" s="113">
        <v>4318</v>
      </c>
      <c r="G171" s="113">
        <v>371</v>
      </c>
      <c r="H171" s="113">
        <v>329</v>
      </c>
      <c r="I171" s="113">
        <v>32347</v>
      </c>
      <c r="J171" s="113">
        <v>68956</v>
      </c>
      <c r="K171" s="113">
        <v>259</v>
      </c>
      <c r="L171" s="42" t="s">
        <v>40</v>
      </c>
      <c r="M171" s="42"/>
      <c r="N171" s="42" t="s">
        <v>20</v>
      </c>
      <c r="O171" s="83">
        <v>0.15513030574705536</v>
      </c>
    </row>
    <row r="172" spans="1:15" x14ac:dyDescent="0.3">
      <c r="A172" s="44" t="s">
        <v>205</v>
      </c>
      <c r="B172" s="45" t="s">
        <v>13</v>
      </c>
      <c r="C172" s="46">
        <v>45536</v>
      </c>
      <c r="D172" s="45" t="s">
        <v>23</v>
      </c>
      <c r="E172" s="45" t="s">
        <v>26</v>
      </c>
      <c r="F172" s="114">
        <v>2335</v>
      </c>
      <c r="G172" s="114">
        <v>150</v>
      </c>
      <c r="H172" s="114">
        <v>75</v>
      </c>
      <c r="I172" s="114">
        <v>26114</v>
      </c>
      <c r="J172" s="114">
        <v>57549</v>
      </c>
      <c r="K172" s="114">
        <v>135</v>
      </c>
      <c r="L172" s="45" t="s">
        <v>37</v>
      </c>
      <c r="M172" s="45"/>
      <c r="N172" s="45" t="s">
        <v>50</v>
      </c>
      <c r="O172" s="84">
        <v>9.8031707130274953E-2</v>
      </c>
    </row>
    <row r="173" spans="1:15" x14ac:dyDescent="0.3">
      <c r="A173" s="41" t="s">
        <v>206</v>
      </c>
      <c r="B173" s="42" t="s">
        <v>28</v>
      </c>
      <c r="C173" s="43">
        <v>45400</v>
      </c>
      <c r="D173" s="42" t="s">
        <v>14</v>
      </c>
      <c r="E173" s="42" t="s">
        <v>18</v>
      </c>
      <c r="F173" s="113">
        <v>4023</v>
      </c>
      <c r="G173" s="113">
        <v>293</v>
      </c>
      <c r="H173" s="113">
        <v>91</v>
      </c>
      <c r="I173" s="113">
        <v>26795</v>
      </c>
      <c r="J173" s="113">
        <v>28924</v>
      </c>
      <c r="K173" s="113">
        <v>278</v>
      </c>
      <c r="L173" s="42" t="s">
        <v>19</v>
      </c>
      <c r="M173" s="42" t="s">
        <v>338</v>
      </c>
      <c r="N173" s="42" t="s">
        <v>20</v>
      </c>
      <c r="O173" s="83">
        <v>0.16447098339242397</v>
      </c>
    </row>
    <row r="174" spans="1:15" x14ac:dyDescent="0.3">
      <c r="A174" s="44" t="s">
        <v>207</v>
      </c>
      <c r="B174" s="45" t="s">
        <v>13</v>
      </c>
      <c r="C174" s="46">
        <v>45447</v>
      </c>
      <c r="D174" s="45" t="s">
        <v>14</v>
      </c>
      <c r="E174" s="45" t="s">
        <v>33</v>
      </c>
      <c r="F174" s="114">
        <v>3948</v>
      </c>
      <c r="G174" s="114">
        <v>151</v>
      </c>
      <c r="H174" s="114">
        <v>249</v>
      </c>
      <c r="I174" s="114">
        <v>43147</v>
      </c>
      <c r="J174" s="114">
        <v>63136</v>
      </c>
      <c r="K174" s="114">
        <v>230</v>
      </c>
      <c r="L174" s="45" t="s">
        <v>19</v>
      </c>
      <c r="M174" s="45"/>
      <c r="N174" s="45" t="s">
        <v>20</v>
      </c>
      <c r="O174" s="84">
        <v>0.10077178019329269</v>
      </c>
    </row>
    <row r="175" spans="1:15" x14ac:dyDescent="0.3">
      <c r="A175" s="41" t="s">
        <v>208</v>
      </c>
      <c r="B175" s="42" t="s">
        <v>28</v>
      </c>
      <c r="C175" s="43">
        <v>45749</v>
      </c>
      <c r="D175" s="42" t="s">
        <v>14</v>
      </c>
      <c r="E175" s="42" t="s">
        <v>26</v>
      </c>
      <c r="F175" s="113">
        <v>4598</v>
      </c>
      <c r="G175" s="113">
        <v>455</v>
      </c>
      <c r="H175" s="113">
        <v>378</v>
      </c>
      <c r="I175" s="113">
        <v>52952</v>
      </c>
      <c r="J175" s="113">
        <v>58504</v>
      </c>
      <c r="K175" s="113">
        <v>269</v>
      </c>
      <c r="L175" s="42" t="s">
        <v>19</v>
      </c>
      <c r="M175" s="42" t="s">
        <v>338</v>
      </c>
      <c r="N175" s="42" t="s">
        <v>20</v>
      </c>
      <c r="O175" s="83">
        <v>0.10256458679558846</v>
      </c>
    </row>
    <row r="176" spans="1:15" x14ac:dyDescent="0.3">
      <c r="A176" s="41" t="s">
        <v>209</v>
      </c>
      <c r="B176" s="42" t="s">
        <v>22</v>
      </c>
      <c r="C176" s="43">
        <v>45748</v>
      </c>
      <c r="D176" s="42" t="s">
        <v>23</v>
      </c>
      <c r="E176" s="42" t="s">
        <v>29</v>
      </c>
      <c r="F176" s="113">
        <v>2665</v>
      </c>
      <c r="G176" s="113">
        <v>143</v>
      </c>
      <c r="H176" s="113">
        <v>315</v>
      </c>
      <c r="I176" s="113">
        <v>54808</v>
      </c>
      <c r="J176" s="113">
        <v>29818</v>
      </c>
      <c r="K176" s="113">
        <v>98</v>
      </c>
      <c r="L176" s="42" t="s">
        <v>19</v>
      </c>
      <c r="M176" s="42" t="s">
        <v>337</v>
      </c>
      <c r="N176" s="42" t="s">
        <v>16</v>
      </c>
      <c r="O176" s="83">
        <v>5.6980732739746021E-2</v>
      </c>
    </row>
    <row r="177" spans="1:15" x14ac:dyDescent="0.3">
      <c r="A177" s="41" t="s">
        <v>210</v>
      </c>
      <c r="B177" s="42" t="s">
        <v>13</v>
      </c>
      <c r="C177" s="43">
        <v>45475</v>
      </c>
      <c r="D177" s="42" t="s">
        <v>14</v>
      </c>
      <c r="E177" s="42" t="s">
        <v>36</v>
      </c>
      <c r="F177" s="113">
        <v>3469</v>
      </c>
      <c r="G177" s="113">
        <v>371</v>
      </c>
      <c r="H177" s="113">
        <v>76</v>
      </c>
      <c r="I177" s="113">
        <v>46493</v>
      </c>
      <c r="J177" s="113">
        <v>26906</v>
      </c>
      <c r="K177" s="113">
        <v>150</v>
      </c>
      <c r="L177" s="42" t="s">
        <v>40</v>
      </c>
      <c r="M177" s="42" t="s">
        <v>37</v>
      </c>
      <c r="N177" s="42" t="s">
        <v>16</v>
      </c>
      <c r="O177" s="83">
        <v>8.4227733207149463E-2</v>
      </c>
    </row>
    <row r="178" spans="1:15" x14ac:dyDescent="0.3">
      <c r="A178" s="44" t="s">
        <v>211</v>
      </c>
      <c r="B178" s="45" t="s">
        <v>22</v>
      </c>
      <c r="C178" s="46">
        <v>45606</v>
      </c>
      <c r="D178" s="45" t="s">
        <v>14</v>
      </c>
      <c r="E178" s="45" t="s">
        <v>18</v>
      </c>
      <c r="F178" s="114">
        <v>4823</v>
      </c>
      <c r="G178" s="114">
        <v>489</v>
      </c>
      <c r="H178" s="114">
        <v>302</v>
      </c>
      <c r="I178" s="114">
        <v>32470</v>
      </c>
      <c r="J178" s="114">
        <v>31861</v>
      </c>
      <c r="K178" s="114">
        <v>178</v>
      </c>
      <c r="L178" s="45" t="s">
        <v>40</v>
      </c>
      <c r="M178" s="45"/>
      <c r="N178" s="45" t="s">
        <v>20</v>
      </c>
      <c r="O178" s="84">
        <v>0.1728980597474592</v>
      </c>
    </row>
    <row r="179" spans="1:15" x14ac:dyDescent="0.3">
      <c r="A179" s="44" t="s">
        <v>212</v>
      </c>
      <c r="B179" s="45" t="s">
        <v>13</v>
      </c>
      <c r="C179" s="46">
        <v>45640</v>
      </c>
      <c r="D179" s="45" t="s">
        <v>23</v>
      </c>
      <c r="E179" s="45" t="s">
        <v>44</v>
      </c>
      <c r="F179" s="114">
        <v>3812</v>
      </c>
      <c r="G179" s="114">
        <v>321</v>
      </c>
      <c r="H179" s="114">
        <v>289</v>
      </c>
      <c r="I179" s="114">
        <v>59838</v>
      </c>
      <c r="J179" s="114">
        <v>36337</v>
      </c>
      <c r="K179" s="114">
        <v>161</v>
      </c>
      <c r="L179" s="45" t="s">
        <v>37</v>
      </c>
      <c r="M179" s="45"/>
      <c r="N179" s="45" t="s">
        <v>50</v>
      </c>
      <c r="O179" s="84">
        <v>7.3899528727564417E-2</v>
      </c>
    </row>
    <row r="180" spans="1:15" x14ac:dyDescent="0.3">
      <c r="A180" s="41" t="s">
        <v>213</v>
      </c>
      <c r="B180" s="42" t="s">
        <v>22</v>
      </c>
      <c r="C180" s="43">
        <v>45615</v>
      </c>
      <c r="D180" s="42" t="s">
        <v>14</v>
      </c>
      <c r="E180" s="42" t="s">
        <v>18</v>
      </c>
      <c r="F180" s="113">
        <v>2387</v>
      </c>
      <c r="G180" s="113">
        <v>353</v>
      </c>
      <c r="H180" s="113">
        <v>78</v>
      </c>
      <c r="I180" s="113">
        <v>39745</v>
      </c>
      <c r="J180" s="113">
        <v>69226</v>
      </c>
      <c r="K180" s="113">
        <v>208</v>
      </c>
      <c r="L180" s="42" t="s">
        <v>40</v>
      </c>
      <c r="M180" s="42"/>
      <c r="N180" s="42" t="s">
        <v>20</v>
      </c>
      <c r="O180" s="83">
        <v>7.090200025160398E-2</v>
      </c>
    </row>
    <row r="181" spans="1:15" x14ac:dyDescent="0.3">
      <c r="A181" s="41" t="s">
        <v>214</v>
      </c>
      <c r="B181" s="42" t="s">
        <v>22</v>
      </c>
      <c r="C181" s="43">
        <v>45777</v>
      </c>
      <c r="D181" s="42" t="s">
        <v>23</v>
      </c>
      <c r="E181" s="42" t="s">
        <v>26</v>
      </c>
      <c r="F181" s="113">
        <v>3929</v>
      </c>
      <c r="G181" s="113">
        <v>275</v>
      </c>
      <c r="H181" s="113">
        <v>330</v>
      </c>
      <c r="I181" s="113">
        <v>58329</v>
      </c>
      <c r="J181" s="113">
        <v>33196</v>
      </c>
      <c r="K181" s="113">
        <v>85</v>
      </c>
      <c r="L181" s="42" t="s">
        <v>337</v>
      </c>
      <c r="M181" s="42" t="s">
        <v>37</v>
      </c>
      <c r="N181" s="42" t="s">
        <v>16</v>
      </c>
      <c r="O181" s="83">
        <v>7.7731488624869283E-2</v>
      </c>
    </row>
    <row r="182" spans="1:15" x14ac:dyDescent="0.3">
      <c r="A182" s="44" t="s">
        <v>215</v>
      </c>
      <c r="B182" s="45" t="s">
        <v>22</v>
      </c>
      <c r="C182" s="46">
        <v>45370</v>
      </c>
      <c r="D182" s="45" t="s">
        <v>14</v>
      </c>
      <c r="E182" s="45" t="s">
        <v>44</v>
      </c>
      <c r="F182" s="114">
        <v>2191</v>
      </c>
      <c r="G182" s="114">
        <v>288</v>
      </c>
      <c r="H182" s="114">
        <v>83</v>
      </c>
      <c r="I182" s="114">
        <v>59606</v>
      </c>
      <c r="J182" s="114">
        <v>24765</v>
      </c>
      <c r="K182" s="114">
        <v>281</v>
      </c>
      <c r="L182" s="45" t="s">
        <v>40</v>
      </c>
      <c r="M182" s="45"/>
      <c r="N182" s="45" t="s">
        <v>20</v>
      </c>
      <c r="O182" s="84">
        <v>4.2982250109049422E-2</v>
      </c>
    </row>
    <row r="183" spans="1:15" x14ac:dyDescent="0.3">
      <c r="A183" s="41" t="s">
        <v>216</v>
      </c>
      <c r="B183" s="42" t="s">
        <v>13</v>
      </c>
      <c r="C183" s="43">
        <v>45370</v>
      </c>
      <c r="D183" s="42" t="s">
        <v>14</v>
      </c>
      <c r="E183" s="42" t="s">
        <v>44</v>
      </c>
      <c r="F183" s="113">
        <v>2878</v>
      </c>
      <c r="G183" s="113">
        <v>278</v>
      </c>
      <c r="H183" s="113">
        <v>255</v>
      </c>
      <c r="I183" s="113">
        <v>47235</v>
      </c>
      <c r="J183" s="113">
        <v>57922</v>
      </c>
      <c r="K183" s="113">
        <v>112</v>
      </c>
      <c r="L183" s="42" t="s">
        <v>40</v>
      </c>
      <c r="M183" s="42" t="s">
        <v>37</v>
      </c>
      <c r="N183" s="42" t="s">
        <v>16</v>
      </c>
      <c r="O183" s="83">
        <v>7.2213401079707848E-2</v>
      </c>
    </row>
    <row r="184" spans="1:15" x14ac:dyDescent="0.3">
      <c r="A184" s="41" t="s">
        <v>217</v>
      </c>
      <c r="B184" s="42" t="s">
        <v>22</v>
      </c>
      <c r="C184" s="43">
        <v>45496</v>
      </c>
      <c r="D184" s="42" t="s">
        <v>14</v>
      </c>
      <c r="E184" s="42" t="s">
        <v>36</v>
      </c>
      <c r="F184" s="113">
        <v>3204</v>
      </c>
      <c r="G184" s="113">
        <v>398</v>
      </c>
      <c r="H184" s="113">
        <v>85</v>
      </c>
      <c r="I184" s="113">
        <v>22020</v>
      </c>
      <c r="J184" s="113">
        <v>58353</v>
      </c>
      <c r="K184" s="113">
        <v>286</v>
      </c>
      <c r="L184" s="42" t="s">
        <v>40</v>
      </c>
      <c r="M184" s="42"/>
      <c r="N184" s="42" t="s">
        <v>20</v>
      </c>
      <c r="O184" s="83">
        <v>0.16743869209809265</v>
      </c>
    </row>
    <row r="185" spans="1:15" x14ac:dyDescent="0.3">
      <c r="A185" s="41" t="s">
        <v>218</v>
      </c>
      <c r="B185" s="42" t="s">
        <v>22</v>
      </c>
      <c r="C185" s="43">
        <v>45486</v>
      </c>
      <c r="D185" s="42" t="s">
        <v>23</v>
      </c>
      <c r="E185" s="42" t="s">
        <v>33</v>
      </c>
      <c r="F185" s="113">
        <v>2408</v>
      </c>
      <c r="G185" s="113">
        <v>323</v>
      </c>
      <c r="H185" s="113">
        <v>251</v>
      </c>
      <c r="I185" s="113">
        <v>47599</v>
      </c>
      <c r="J185" s="113">
        <v>35543</v>
      </c>
      <c r="K185" s="113">
        <v>287</v>
      </c>
      <c r="L185" s="42" t="s">
        <v>337</v>
      </c>
      <c r="M185" s="42" t="s">
        <v>37</v>
      </c>
      <c r="N185" s="42" t="s">
        <v>16</v>
      </c>
      <c r="O185" s="83">
        <v>6.2648374965860634E-2</v>
      </c>
    </row>
    <row r="186" spans="1:15" x14ac:dyDescent="0.3">
      <c r="A186" s="44" t="s">
        <v>219</v>
      </c>
      <c r="B186" s="45" t="s">
        <v>28</v>
      </c>
      <c r="C186" s="46">
        <v>45769</v>
      </c>
      <c r="D186" s="45" t="s">
        <v>52</v>
      </c>
      <c r="E186" s="45" t="s">
        <v>24</v>
      </c>
      <c r="F186" s="114">
        <v>2733</v>
      </c>
      <c r="G186" s="114">
        <v>297</v>
      </c>
      <c r="H186" s="114">
        <v>235</v>
      </c>
      <c r="I186" s="114">
        <v>37980</v>
      </c>
      <c r="J186" s="114">
        <v>33058</v>
      </c>
      <c r="K186" s="114">
        <v>219</v>
      </c>
      <c r="L186" s="45" t="s">
        <v>19</v>
      </c>
      <c r="M186" s="45" t="s">
        <v>40</v>
      </c>
      <c r="N186" s="45" t="s">
        <v>53</v>
      </c>
      <c r="O186" s="84">
        <v>8.5966298051606105E-2</v>
      </c>
    </row>
    <row r="187" spans="1:15" x14ac:dyDescent="0.3">
      <c r="A187" s="41" t="s">
        <v>220</v>
      </c>
      <c r="B187" s="42" t="s">
        <v>22</v>
      </c>
      <c r="C187" s="43">
        <v>45459</v>
      </c>
      <c r="D187" s="42" t="s">
        <v>23</v>
      </c>
      <c r="E187" s="42" t="s">
        <v>18</v>
      </c>
      <c r="F187" s="113">
        <v>4618</v>
      </c>
      <c r="G187" s="113">
        <v>312</v>
      </c>
      <c r="H187" s="113">
        <v>254</v>
      </c>
      <c r="I187" s="113">
        <v>22571</v>
      </c>
      <c r="J187" s="113">
        <v>29453</v>
      </c>
      <c r="K187" s="113">
        <v>197</v>
      </c>
      <c r="L187" s="42" t="s">
        <v>337</v>
      </c>
      <c r="M187" s="42" t="s">
        <v>37</v>
      </c>
      <c r="N187" s="42" t="s">
        <v>16</v>
      </c>
      <c r="O187" s="83">
        <v>0.22967524699836073</v>
      </c>
    </row>
    <row r="188" spans="1:15" x14ac:dyDescent="0.3">
      <c r="A188" s="44" t="s">
        <v>221</v>
      </c>
      <c r="B188" s="45" t="s">
        <v>28</v>
      </c>
      <c r="C188" s="46">
        <v>45795</v>
      </c>
      <c r="D188" s="45" t="s">
        <v>52</v>
      </c>
      <c r="E188" s="45" t="s">
        <v>26</v>
      </c>
      <c r="F188" s="114">
        <v>4210</v>
      </c>
      <c r="G188" s="114">
        <v>319</v>
      </c>
      <c r="H188" s="114">
        <v>350</v>
      </c>
      <c r="I188" s="114">
        <v>37762</v>
      </c>
      <c r="J188" s="114">
        <v>55162</v>
      </c>
      <c r="K188" s="114">
        <v>204</v>
      </c>
      <c r="L188" s="45" t="s">
        <v>19</v>
      </c>
      <c r="M188" s="45" t="s">
        <v>40</v>
      </c>
      <c r="N188" s="45" t="s">
        <v>53</v>
      </c>
      <c r="O188" s="84">
        <v>0.12920396165457337</v>
      </c>
    </row>
    <row r="189" spans="1:15" x14ac:dyDescent="0.3">
      <c r="A189" s="41" t="s">
        <v>222</v>
      </c>
      <c r="B189" s="42" t="s">
        <v>13</v>
      </c>
      <c r="C189" s="43">
        <v>45814</v>
      </c>
      <c r="D189" s="42" t="s">
        <v>14</v>
      </c>
      <c r="E189" s="42" t="s">
        <v>26</v>
      </c>
      <c r="F189" s="113">
        <v>3987</v>
      </c>
      <c r="G189" s="113">
        <v>171</v>
      </c>
      <c r="H189" s="113">
        <v>274</v>
      </c>
      <c r="I189" s="113">
        <v>45122</v>
      </c>
      <c r="J189" s="113">
        <v>65431</v>
      </c>
      <c r="K189" s="113">
        <v>168</v>
      </c>
      <c r="L189" s="42" t="s">
        <v>19</v>
      </c>
      <c r="M189" s="42"/>
      <c r="N189" s="42" t="s">
        <v>20</v>
      </c>
      <c r="O189" s="83">
        <v>9.8222596516111871E-2</v>
      </c>
    </row>
    <row r="190" spans="1:15" x14ac:dyDescent="0.3">
      <c r="A190" s="44" t="s">
        <v>223</v>
      </c>
      <c r="B190" s="45" t="s">
        <v>28</v>
      </c>
      <c r="C190" s="46">
        <v>45708</v>
      </c>
      <c r="D190" s="45" t="s">
        <v>52</v>
      </c>
      <c r="E190" s="45" t="s">
        <v>33</v>
      </c>
      <c r="F190" s="114">
        <v>4957</v>
      </c>
      <c r="G190" s="114">
        <v>262</v>
      </c>
      <c r="H190" s="114">
        <v>365</v>
      </c>
      <c r="I190" s="114">
        <v>49199</v>
      </c>
      <c r="J190" s="114">
        <v>40314</v>
      </c>
      <c r="K190" s="114">
        <v>216</v>
      </c>
      <c r="L190" s="45" t="s">
        <v>19</v>
      </c>
      <c r="M190" s="45" t="s">
        <v>40</v>
      </c>
      <c r="N190" s="45" t="s">
        <v>53</v>
      </c>
      <c r="O190" s="84">
        <v>0.11349824183418362</v>
      </c>
    </row>
    <row r="191" spans="1:15" x14ac:dyDescent="0.3">
      <c r="A191" s="44" t="s">
        <v>224</v>
      </c>
      <c r="B191" s="45" t="s">
        <v>13</v>
      </c>
      <c r="C191" s="46">
        <v>45673</v>
      </c>
      <c r="D191" s="45" t="s">
        <v>14</v>
      </c>
      <c r="E191" s="45" t="s">
        <v>29</v>
      </c>
      <c r="F191" s="114">
        <v>2605</v>
      </c>
      <c r="G191" s="114">
        <v>282</v>
      </c>
      <c r="H191" s="114">
        <v>148</v>
      </c>
      <c r="I191" s="114">
        <v>32201</v>
      </c>
      <c r="J191" s="114">
        <v>49583</v>
      </c>
      <c r="K191" s="114">
        <v>241</v>
      </c>
      <c r="L191" s="45" t="s">
        <v>40</v>
      </c>
      <c r="M191" s="45" t="s">
        <v>37</v>
      </c>
      <c r="N191" s="45" t="s">
        <v>16</v>
      </c>
      <c r="O191" s="84">
        <v>9.4251731312692155E-2</v>
      </c>
    </row>
    <row r="192" spans="1:15" x14ac:dyDescent="0.3">
      <c r="A192" s="41" t="s">
        <v>225</v>
      </c>
      <c r="B192" s="42" t="s">
        <v>28</v>
      </c>
      <c r="C192" s="43">
        <v>45346</v>
      </c>
      <c r="D192" s="42" t="s">
        <v>52</v>
      </c>
      <c r="E192" s="42" t="s">
        <v>15</v>
      </c>
      <c r="F192" s="113">
        <v>4221</v>
      </c>
      <c r="G192" s="113">
        <v>307</v>
      </c>
      <c r="H192" s="113">
        <v>58</v>
      </c>
      <c r="I192" s="113">
        <v>45080</v>
      </c>
      <c r="J192" s="113">
        <v>37214</v>
      </c>
      <c r="K192" s="113">
        <v>240</v>
      </c>
      <c r="L192" s="42" t="s">
        <v>19</v>
      </c>
      <c r="M192" s="42" t="s">
        <v>40</v>
      </c>
      <c r="N192" s="42" t="s">
        <v>53</v>
      </c>
      <c r="O192" s="83">
        <v>0.10173025732031943</v>
      </c>
    </row>
    <row r="193" spans="1:15" x14ac:dyDescent="0.3">
      <c r="A193" s="41" t="s">
        <v>226</v>
      </c>
      <c r="B193" s="42" t="s">
        <v>22</v>
      </c>
      <c r="C193" s="43">
        <v>45551</v>
      </c>
      <c r="D193" s="42" t="s">
        <v>23</v>
      </c>
      <c r="E193" s="42" t="s">
        <v>31</v>
      </c>
      <c r="F193" s="113">
        <v>4422</v>
      </c>
      <c r="G193" s="113">
        <v>434</v>
      </c>
      <c r="H193" s="113">
        <v>156</v>
      </c>
      <c r="I193" s="113">
        <v>56165</v>
      </c>
      <c r="J193" s="113">
        <v>52431</v>
      </c>
      <c r="K193" s="113">
        <v>173</v>
      </c>
      <c r="L193" s="42" t="s">
        <v>19</v>
      </c>
      <c r="M193" s="42" t="s">
        <v>337</v>
      </c>
      <c r="N193" s="42" t="s">
        <v>16</v>
      </c>
      <c r="O193" s="83">
        <v>8.9237069349238848E-2</v>
      </c>
    </row>
    <row r="194" spans="1:15" x14ac:dyDescent="0.3">
      <c r="A194" s="41" t="s">
        <v>227</v>
      </c>
      <c r="B194" s="42" t="s">
        <v>28</v>
      </c>
      <c r="C194" s="43">
        <v>45447</v>
      </c>
      <c r="D194" s="42" t="s">
        <v>52</v>
      </c>
      <c r="E194" s="42" t="s">
        <v>26</v>
      </c>
      <c r="F194" s="113">
        <v>1211</v>
      </c>
      <c r="G194" s="113">
        <v>431</v>
      </c>
      <c r="H194" s="113">
        <v>83</v>
      </c>
      <c r="I194" s="113">
        <v>26532</v>
      </c>
      <c r="J194" s="113">
        <v>47305</v>
      </c>
      <c r="K194" s="113">
        <v>232</v>
      </c>
      <c r="L194" s="42" t="s">
        <v>19</v>
      </c>
      <c r="M194" s="42" t="s">
        <v>40</v>
      </c>
      <c r="N194" s="42" t="s">
        <v>53</v>
      </c>
      <c r="O194" s="83">
        <v>6.5015829941203071E-2</v>
      </c>
    </row>
    <row r="195" spans="1:15" x14ac:dyDescent="0.3">
      <c r="A195" s="44" t="s">
        <v>228</v>
      </c>
      <c r="B195" s="45" t="s">
        <v>22</v>
      </c>
      <c r="C195" s="46">
        <v>45422</v>
      </c>
      <c r="D195" s="45" t="s">
        <v>23</v>
      </c>
      <c r="E195" s="45" t="s">
        <v>18</v>
      </c>
      <c r="F195" s="114">
        <v>2784</v>
      </c>
      <c r="G195" s="114">
        <v>111</v>
      </c>
      <c r="H195" s="114">
        <v>399</v>
      </c>
      <c r="I195" s="114">
        <v>58366</v>
      </c>
      <c r="J195" s="114">
        <v>69512</v>
      </c>
      <c r="K195" s="114">
        <v>269</v>
      </c>
      <c r="L195" s="45" t="s">
        <v>337</v>
      </c>
      <c r="M195" s="45" t="s">
        <v>37</v>
      </c>
      <c r="N195" s="45" t="s">
        <v>16</v>
      </c>
      <c r="O195" s="84">
        <v>5.6436966727204191E-2</v>
      </c>
    </row>
    <row r="196" spans="1:15" x14ac:dyDescent="0.3">
      <c r="A196" s="41" t="s">
        <v>229</v>
      </c>
      <c r="B196" s="42" t="s">
        <v>28</v>
      </c>
      <c r="C196" s="43">
        <v>45305</v>
      </c>
      <c r="D196" s="42" t="s">
        <v>14</v>
      </c>
      <c r="E196" s="42" t="s">
        <v>24</v>
      </c>
      <c r="F196" s="113">
        <v>3634</v>
      </c>
      <c r="G196" s="113">
        <v>280</v>
      </c>
      <c r="H196" s="113">
        <v>399</v>
      </c>
      <c r="I196" s="113">
        <v>40256</v>
      </c>
      <c r="J196" s="113">
        <v>52605</v>
      </c>
      <c r="K196" s="113">
        <v>213</v>
      </c>
      <c r="L196" s="42" t="s">
        <v>19</v>
      </c>
      <c r="M196" s="42" t="s">
        <v>338</v>
      </c>
      <c r="N196" s="42" t="s">
        <v>20</v>
      </c>
      <c r="O196" s="83">
        <v>0.10713930842607314</v>
      </c>
    </row>
    <row r="197" spans="1:15" x14ac:dyDescent="0.3">
      <c r="A197" s="44" t="s">
        <v>230</v>
      </c>
      <c r="B197" s="45" t="s">
        <v>13</v>
      </c>
      <c r="C197" s="46">
        <v>45669</v>
      </c>
      <c r="D197" s="45" t="s">
        <v>14</v>
      </c>
      <c r="E197" s="45" t="s">
        <v>44</v>
      </c>
      <c r="F197" s="114">
        <v>1771</v>
      </c>
      <c r="G197" s="114">
        <v>487</v>
      </c>
      <c r="H197" s="114">
        <v>272</v>
      </c>
      <c r="I197" s="114">
        <v>48810</v>
      </c>
      <c r="J197" s="114">
        <v>48084</v>
      </c>
      <c r="K197" s="114">
        <v>272</v>
      </c>
      <c r="L197" s="45" t="s">
        <v>40</v>
      </c>
      <c r="M197" s="45" t="s">
        <v>37</v>
      </c>
      <c r="N197" s="45" t="s">
        <v>16</v>
      </c>
      <c r="O197" s="84">
        <v>5.1833640647408315E-2</v>
      </c>
    </row>
    <row r="198" spans="1:15" x14ac:dyDescent="0.3">
      <c r="A198" s="44" t="s">
        <v>231</v>
      </c>
      <c r="B198" s="45" t="s">
        <v>28</v>
      </c>
      <c r="C198" s="46">
        <v>45634</v>
      </c>
      <c r="D198" s="45" t="s">
        <v>14</v>
      </c>
      <c r="E198" s="45" t="s">
        <v>36</v>
      </c>
      <c r="F198" s="114">
        <v>1424</v>
      </c>
      <c r="G198" s="114">
        <v>396</v>
      </c>
      <c r="H198" s="114">
        <v>312</v>
      </c>
      <c r="I198" s="114">
        <v>59517</v>
      </c>
      <c r="J198" s="114">
        <v>46102</v>
      </c>
      <c r="K198" s="114">
        <v>239</v>
      </c>
      <c r="L198" s="45" t="s">
        <v>19</v>
      </c>
      <c r="M198" s="45" t="s">
        <v>338</v>
      </c>
      <c r="N198" s="45" t="s">
        <v>20</v>
      </c>
      <c r="O198" s="84">
        <v>3.5821698002251455E-2</v>
      </c>
    </row>
    <row r="199" spans="1:15" x14ac:dyDescent="0.3">
      <c r="A199" s="41" t="s">
        <v>232</v>
      </c>
      <c r="B199" s="42" t="s">
        <v>22</v>
      </c>
      <c r="C199" s="43">
        <v>45689</v>
      </c>
      <c r="D199" s="42" t="s">
        <v>23</v>
      </c>
      <c r="E199" s="42" t="s">
        <v>36</v>
      </c>
      <c r="F199" s="113">
        <v>1079</v>
      </c>
      <c r="G199" s="113">
        <v>265</v>
      </c>
      <c r="H199" s="113">
        <v>190</v>
      </c>
      <c r="I199" s="113">
        <v>43786</v>
      </c>
      <c r="J199" s="113">
        <v>72428</v>
      </c>
      <c r="K199" s="113">
        <v>222</v>
      </c>
      <c r="L199" s="42" t="s">
        <v>40</v>
      </c>
      <c r="M199" s="42" t="s">
        <v>37</v>
      </c>
      <c r="N199" s="42" t="s">
        <v>16</v>
      </c>
      <c r="O199" s="83">
        <v>3.5034029141734799E-2</v>
      </c>
    </row>
    <row r="200" spans="1:15" x14ac:dyDescent="0.3">
      <c r="A200" s="41" t="s">
        <v>233</v>
      </c>
      <c r="B200" s="42" t="s">
        <v>22</v>
      </c>
      <c r="C200" s="43">
        <v>45484</v>
      </c>
      <c r="D200" s="42" t="s">
        <v>23</v>
      </c>
      <c r="E200" s="42" t="s">
        <v>33</v>
      </c>
      <c r="F200" s="113">
        <v>4247</v>
      </c>
      <c r="G200" s="113">
        <v>179</v>
      </c>
      <c r="H200" s="113">
        <v>175</v>
      </c>
      <c r="I200" s="113">
        <v>32991</v>
      </c>
      <c r="J200" s="113">
        <v>70120</v>
      </c>
      <c r="K200" s="113">
        <v>276</v>
      </c>
      <c r="L200" s="42" t="s">
        <v>40</v>
      </c>
      <c r="M200" s="42" t="s">
        <v>37</v>
      </c>
      <c r="N200" s="42" t="s">
        <v>16</v>
      </c>
      <c r="O200" s="83">
        <v>0.13946227759085811</v>
      </c>
    </row>
    <row r="201" spans="1:15" x14ac:dyDescent="0.3">
      <c r="A201" s="41" t="s">
        <v>234</v>
      </c>
      <c r="B201" s="42" t="s">
        <v>22</v>
      </c>
      <c r="C201" s="43">
        <v>45369</v>
      </c>
      <c r="D201" s="42" t="s">
        <v>14</v>
      </c>
      <c r="E201" s="42" t="s">
        <v>24</v>
      </c>
      <c r="F201" s="113">
        <v>2033</v>
      </c>
      <c r="G201" s="113">
        <v>420</v>
      </c>
      <c r="H201" s="113">
        <v>94</v>
      </c>
      <c r="I201" s="113">
        <v>56290</v>
      </c>
      <c r="J201" s="113">
        <v>57391</v>
      </c>
      <c r="K201" s="113">
        <v>196</v>
      </c>
      <c r="L201" s="42" t="s">
        <v>37</v>
      </c>
      <c r="M201" s="42"/>
      <c r="N201" s="42" t="s">
        <v>16</v>
      </c>
      <c r="O201" s="83">
        <v>4.5247823769763724E-2</v>
      </c>
    </row>
    <row r="202" spans="1:15" x14ac:dyDescent="0.3">
      <c r="A202" s="44" t="s">
        <v>235</v>
      </c>
      <c r="B202" s="45" t="s">
        <v>22</v>
      </c>
      <c r="C202" s="46">
        <v>45547</v>
      </c>
      <c r="D202" s="45" t="s">
        <v>23</v>
      </c>
      <c r="E202" s="45" t="s">
        <v>26</v>
      </c>
      <c r="F202" s="114">
        <v>1839</v>
      </c>
      <c r="G202" s="114">
        <v>223</v>
      </c>
      <c r="H202" s="114">
        <v>171</v>
      </c>
      <c r="I202" s="114">
        <v>35459</v>
      </c>
      <c r="J202" s="114">
        <v>69988</v>
      </c>
      <c r="K202" s="114">
        <v>114</v>
      </c>
      <c r="L202" s="45" t="s">
        <v>337</v>
      </c>
      <c r="M202" s="45" t="s">
        <v>37</v>
      </c>
      <c r="N202" s="45" t="s">
        <v>16</v>
      </c>
      <c r="O202" s="84">
        <v>6.2974139146620034E-2</v>
      </c>
    </row>
    <row r="203" spans="1:15" x14ac:dyDescent="0.3">
      <c r="A203" s="44" t="s">
        <v>236</v>
      </c>
      <c r="B203" s="45" t="s">
        <v>22</v>
      </c>
      <c r="C203" s="46">
        <v>45302</v>
      </c>
      <c r="D203" s="45" t="s">
        <v>23</v>
      </c>
      <c r="E203" s="45" t="s">
        <v>26</v>
      </c>
      <c r="F203" s="114">
        <v>2340</v>
      </c>
      <c r="G203" s="114">
        <v>141</v>
      </c>
      <c r="H203" s="114">
        <v>206</v>
      </c>
      <c r="I203" s="114">
        <v>24916</v>
      </c>
      <c r="J203" s="114">
        <v>30582</v>
      </c>
      <c r="K203" s="114">
        <v>157</v>
      </c>
      <c r="L203" s="45" t="s">
        <v>40</v>
      </c>
      <c r="M203" s="45" t="s">
        <v>37</v>
      </c>
      <c r="N203" s="45" t="s">
        <v>16</v>
      </c>
      <c r="O203" s="84">
        <v>0.10784235029699792</v>
      </c>
    </row>
    <row r="204" spans="1:15" x14ac:dyDescent="0.3">
      <c r="A204" s="41" t="s">
        <v>237</v>
      </c>
      <c r="B204" s="42" t="s">
        <v>13</v>
      </c>
      <c r="C204" s="43">
        <v>45571</v>
      </c>
      <c r="D204" s="42" t="s">
        <v>14</v>
      </c>
      <c r="E204" s="42" t="s">
        <v>36</v>
      </c>
      <c r="F204" s="113">
        <v>2080</v>
      </c>
      <c r="G204" s="113">
        <v>389</v>
      </c>
      <c r="H204" s="113">
        <v>92</v>
      </c>
      <c r="I204" s="113">
        <v>30971</v>
      </c>
      <c r="J204" s="113">
        <v>25347</v>
      </c>
      <c r="K204" s="113">
        <v>111</v>
      </c>
      <c r="L204" s="42" t="s">
        <v>19</v>
      </c>
      <c r="M204" s="42"/>
      <c r="N204" s="42" t="s">
        <v>20</v>
      </c>
      <c r="O204" s="83">
        <v>8.2690258629040073E-2</v>
      </c>
    </row>
    <row r="205" spans="1:15" x14ac:dyDescent="0.3">
      <c r="A205" s="41" t="s">
        <v>238</v>
      </c>
      <c r="B205" s="42" t="s">
        <v>22</v>
      </c>
      <c r="C205" s="43">
        <v>45656</v>
      </c>
      <c r="D205" s="42" t="s">
        <v>14</v>
      </c>
      <c r="E205" s="42" t="s">
        <v>33</v>
      </c>
      <c r="F205" s="113">
        <v>4214</v>
      </c>
      <c r="G205" s="113">
        <v>286</v>
      </c>
      <c r="H205" s="113">
        <v>127</v>
      </c>
      <c r="I205" s="113">
        <v>47293</v>
      </c>
      <c r="J205" s="113">
        <v>27184</v>
      </c>
      <c r="K205" s="113">
        <v>232</v>
      </c>
      <c r="L205" s="42" t="s">
        <v>37</v>
      </c>
      <c r="M205" s="42"/>
      <c r="N205" s="42" t="s">
        <v>16</v>
      </c>
      <c r="O205" s="83">
        <v>9.7836889180216949E-2</v>
      </c>
    </row>
    <row r="206" spans="1:15" x14ac:dyDescent="0.3">
      <c r="A206" s="44" t="s">
        <v>239</v>
      </c>
      <c r="B206" s="45" t="s">
        <v>22</v>
      </c>
      <c r="C206" s="46">
        <v>45763</v>
      </c>
      <c r="D206" s="45" t="s">
        <v>14</v>
      </c>
      <c r="E206" s="45" t="s">
        <v>26</v>
      </c>
      <c r="F206" s="114">
        <v>3792</v>
      </c>
      <c r="G206" s="114">
        <v>315</v>
      </c>
      <c r="H206" s="114">
        <v>120</v>
      </c>
      <c r="I206" s="114">
        <v>54592</v>
      </c>
      <c r="J206" s="114">
        <v>67886</v>
      </c>
      <c r="K206" s="114">
        <v>117</v>
      </c>
      <c r="L206" s="45" t="s">
        <v>40</v>
      </c>
      <c r="M206" s="45"/>
      <c r="N206" s="45" t="s">
        <v>20</v>
      </c>
      <c r="O206" s="84">
        <v>7.7428927315357568E-2</v>
      </c>
    </row>
    <row r="207" spans="1:15" x14ac:dyDescent="0.3">
      <c r="A207" s="44" t="s">
        <v>240</v>
      </c>
      <c r="B207" s="45" t="s">
        <v>22</v>
      </c>
      <c r="C207" s="46">
        <v>45525</v>
      </c>
      <c r="D207" s="45" t="s">
        <v>23</v>
      </c>
      <c r="E207" s="45" t="s">
        <v>18</v>
      </c>
      <c r="F207" s="114">
        <v>3989</v>
      </c>
      <c r="G207" s="114">
        <v>476</v>
      </c>
      <c r="H207" s="114">
        <v>128</v>
      </c>
      <c r="I207" s="114">
        <v>57569</v>
      </c>
      <c r="J207" s="114">
        <v>40193</v>
      </c>
      <c r="K207" s="114">
        <v>222</v>
      </c>
      <c r="L207" s="45" t="s">
        <v>19</v>
      </c>
      <c r="M207" s="45" t="s">
        <v>337</v>
      </c>
      <c r="N207" s="45" t="s">
        <v>16</v>
      </c>
      <c r="O207" s="84">
        <v>7.9782521843353188E-2</v>
      </c>
    </row>
    <row r="208" spans="1:15" x14ac:dyDescent="0.3">
      <c r="A208" s="44" t="s">
        <v>241</v>
      </c>
      <c r="B208" s="45" t="s">
        <v>22</v>
      </c>
      <c r="C208" s="46">
        <v>45387</v>
      </c>
      <c r="D208" s="45" t="s">
        <v>23</v>
      </c>
      <c r="E208" s="45" t="s">
        <v>26</v>
      </c>
      <c r="F208" s="114">
        <v>2857</v>
      </c>
      <c r="G208" s="114">
        <v>443</v>
      </c>
      <c r="H208" s="114">
        <v>359</v>
      </c>
      <c r="I208" s="114">
        <v>51519</v>
      </c>
      <c r="J208" s="114">
        <v>28256</v>
      </c>
      <c r="K208" s="114">
        <v>155</v>
      </c>
      <c r="L208" s="45" t="s">
        <v>40</v>
      </c>
      <c r="M208" s="45" t="s">
        <v>37</v>
      </c>
      <c r="N208" s="45" t="s">
        <v>16</v>
      </c>
      <c r="O208" s="84">
        <v>7.1022341272152026E-2</v>
      </c>
    </row>
    <row r="209" spans="1:15" x14ac:dyDescent="0.3">
      <c r="A209" s="41" t="s">
        <v>242</v>
      </c>
      <c r="B209" s="42" t="s">
        <v>22</v>
      </c>
      <c r="C209" s="43">
        <v>45754</v>
      </c>
      <c r="D209" s="42" t="s">
        <v>14</v>
      </c>
      <c r="E209" s="42" t="s">
        <v>44</v>
      </c>
      <c r="F209" s="113">
        <v>1403</v>
      </c>
      <c r="G209" s="113">
        <v>385</v>
      </c>
      <c r="H209" s="113">
        <v>344</v>
      </c>
      <c r="I209" s="113">
        <v>54223</v>
      </c>
      <c r="J209" s="113">
        <v>72595</v>
      </c>
      <c r="K209" s="113">
        <v>239</v>
      </c>
      <c r="L209" s="42" t="s">
        <v>40</v>
      </c>
      <c r="M209" s="42"/>
      <c r="N209" s="42" t="s">
        <v>20</v>
      </c>
      <c r="O209" s="83">
        <v>3.9319108127547353E-2</v>
      </c>
    </row>
    <row r="210" spans="1:15" x14ac:dyDescent="0.3">
      <c r="A210" s="41" t="s">
        <v>243</v>
      </c>
      <c r="B210" s="42" t="s">
        <v>22</v>
      </c>
      <c r="C210" s="43">
        <v>45492</v>
      </c>
      <c r="D210" s="42" t="s">
        <v>23</v>
      </c>
      <c r="E210" s="42" t="s">
        <v>31</v>
      </c>
      <c r="F210" s="113">
        <v>3071</v>
      </c>
      <c r="G210" s="113">
        <v>126</v>
      </c>
      <c r="H210" s="113">
        <v>200</v>
      </c>
      <c r="I210" s="113">
        <v>44013</v>
      </c>
      <c r="J210" s="113">
        <v>44679</v>
      </c>
      <c r="K210" s="113">
        <v>118</v>
      </c>
      <c r="L210" s="42" t="s">
        <v>19</v>
      </c>
      <c r="M210" s="42" t="s">
        <v>337</v>
      </c>
      <c r="N210" s="42" t="s">
        <v>16</v>
      </c>
      <c r="O210" s="83">
        <v>7.7181741758116915E-2</v>
      </c>
    </row>
    <row r="211" spans="1:15" x14ac:dyDescent="0.3">
      <c r="A211" s="41" t="s">
        <v>244</v>
      </c>
      <c r="B211" s="42" t="s">
        <v>22</v>
      </c>
      <c r="C211" s="43">
        <v>45780</v>
      </c>
      <c r="D211" s="42" t="s">
        <v>23</v>
      </c>
      <c r="E211" s="42" t="s">
        <v>36</v>
      </c>
      <c r="F211" s="113">
        <v>1010</v>
      </c>
      <c r="G211" s="113">
        <v>361</v>
      </c>
      <c r="H211" s="113">
        <v>240</v>
      </c>
      <c r="I211" s="113">
        <v>47229</v>
      </c>
      <c r="J211" s="113">
        <v>72573</v>
      </c>
      <c r="K211" s="113">
        <v>275</v>
      </c>
      <c r="L211" s="42" t="s">
        <v>40</v>
      </c>
      <c r="M211" s="42" t="s">
        <v>37</v>
      </c>
      <c r="N211" s="42" t="s">
        <v>16</v>
      </c>
      <c r="O211" s="83">
        <v>3.4110398272247981E-2</v>
      </c>
    </row>
    <row r="212" spans="1:15" x14ac:dyDescent="0.3">
      <c r="A212" s="44" t="s">
        <v>245</v>
      </c>
      <c r="B212" s="45" t="s">
        <v>22</v>
      </c>
      <c r="C212" s="46">
        <v>45396</v>
      </c>
      <c r="D212" s="45" t="s">
        <v>23</v>
      </c>
      <c r="E212" s="45" t="s">
        <v>15</v>
      </c>
      <c r="F212" s="114">
        <v>1295</v>
      </c>
      <c r="G212" s="114">
        <v>153</v>
      </c>
      <c r="H212" s="114">
        <v>81</v>
      </c>
      <c r="I212" s="114">
        <v>48350</v>
      </c>
      <c r="J212" s="114">
        <v>61033</v>
      </c>
      <c r="K212" s="114">
        <v>232</v>
      </c>
      <c r="L212" s="45" t="s">
        <v>19</v>
      </c>
      <c r="M212" s="45" t="s">
        <v>337</v>
      </c>
      <c r="N212" s="45" t="s">
        <v>16</v>
      </c>
      <c r="O212" s="84">
        <v>3.1623578076525334E-2</v>
      </c>
    </row>
    <row r="213" spans="1:15" x14ac:dyDescent="0.3">
      <c r="A213" s="41" t="s">
        <v>246</v>
      </c>
      <c r="B213" s="42" t="s">
        <v>22</v>
      </c>
      <c r="C213" s="43">
        <v>45827</v>
      </c>
      <c r="D213" s="42" t="s">
        <v>23</v>
      </c>
      <c r="E213" s="42" t="s">
        <v>31</v>
      </c>
      <c r="F213" s="113">
        <v>1433</v>
      </c>
      <c r="G213" s="113">
        <v>452</v>
      </c>
      <c r="H213" s="113">
        <v>305</v>
      </c>
      <c r="I213" s="113">
        <v>54541</v>
      </c>
      <c r="J213" s="113">
        <v>63700</v>
      </c>
      <c r="K213" s="113">
        <v>296</v>
      </c>
      <c r="L213" s="42" t="s">
        <v>19</v>
      </c>
      <c r="M213" s="42" t="s">
        <v>337</v>
      </c>
      <c r="N213" s="42" t="s">
        <v>16</v>
      </c>
      <c r="O213" s="83">
        <v>4.0153279184466734E-2</v>
      </c>
    </row>
    <row r="214" spans="1:15" x14ac:dyDescent="0.3">
      <c r="A214" s="44" t="s">
        <v>247</v>
      </c>
      <c r="B214" s="45" t="s">
        <v>13</v>
      </c>
      <c r="C214" s="46">
        <v>45832</v>
      </c>
      <c r="D214" s="45" t="s">
        <v>23</v>
      </c>
      <c r="E214" s="45" t="s">
        <v>33</v>
      </c>
      <c r="F214" s="114">
        <v>4902</v>
      </c>
      <c r="G214" s="114">
        <v>422</v>
      </c>
      <c r="H214" s="114">
        <v>376</v>
      </c>
      <c r="I214" s="114">
        <v>31674</v>
      </c>
      <c r="J214" s="114">
        <v>53225</v>
      </c>
      <c r="K214" s="114">
        <v>147</v>
      </c>
      <c r="L214" s="45" t="s">
        <v>37</v>
      </c>
      <c r="M214" s="45"/>
      <c r="N214" s="45" t="s">
        <v>50</v>
      </c>
      <c r="O214" s="84">
        <v>0.17995832544042431</v>
      </c>
    </row>
    <row r="215" spans="1:15" x14ac:dyDescent="0.3">
      <c r="A215" s="44" t="s">
        <v>248</v>
      </c>
      <c r="B215" s="45" t="s">
        <v>22</v>
      </c>
      <c r="C215" s="46">
        <v>45574</v>
      </c>
      <c r="D215" s="45" t="s">
        <v>14</v>
      </c>
      <c r="E215" s="45" t="s">
        <v>26</v>
      </c>
      <c r="F215" s="114">
        <v>2659</v>
      </c>
      <c r="G215" s="114">
        <v>167</v>
      </c>
      <c r="H215" s="114">
        <v>73</v>
      </c>
      <c r="I215" s="114">
        <v>23090</v>
      </c>
      <c r="J215" s="114">
        <v>25872</v>
      </c>
      <c r="K215" s="114">
        <v>293</v>
      </c>
      <c r="L215" s="45" t="s">
        <v>40</v>
      </c>
      <c r="M215" s="45"/>
      <c r="N215" s="45" t="s">
        <v>20</v>
      </c>
      <c r="O215" s="84">
        <v>0.12555218709398008</v>
      </c>
    </row>
    <row r="216" spans="1:15" x14ac:dyDescent="0.3">
      <c r="A216" s="44" t="s">
        <v>249</v>
      </c>
      <c r="B216" s="45" t="s">
        <v>28</v>
      </c>
      <c r="C216" s="46">
        <v>45672</v>
      </c>
      <c r="D216" s="45" t="s">
        <v>14</v>
      </c>
      <c r="E216" s="45" t="s">
        <v>46</v>
      </c>
      <c r="F216" s="114">
        <v>2599</v>
      </c>
      <c r="G216" s="114">
        <v>324</v>
      </c>
      <c r="H216" s="114">
        <v>182</v>
      </c>
      <c r="I216" s="114">
        <v>37525</v>
      </c>
      <c r="J216" s="114">
        <v>37216</v>
      </c>
      <c r="K216" s="114">
        <v>186</v>
      </c>
      <c r="L216" s="45" t="s">
        <v>19</v>
      </c>
      <c r="M216" s="45" t="s">
        <v>338</v>
      </c>
      <c r="N216" s="45" t="s">
        <v>20</v>
      </c>
      <c r="O216" s="84">
        <v>8.2744836775483013E-2</v>
      </c>
    </row>
    <row r="217" spans="1:15" x14ac:dyDescent="0.3">
      <c r="A217" s="44" t="s">
        <v>250</v>
      </c>
      <c r="B217" s="45" t="s">
        <v>22</v>
      </c>
      <c r="C217" s="46">
        <v>45669</v>
      </c>
      <c r="D217" s="45" t="s">
        <v>14</v>
      </c>
      <c r="E217" s="45" t="s">
        <v>29</v>
      </c>
      <c r="F217" s="114">
        <v>1765</v>
      </c>
      <c r="G217" s="114">
        <v>285</v>
      </c>
      <c r="H217" s="114">
        <v>100</v>
      </c>
      <c r="I217" s="114">
        <v>41313</v>
      </c>
      <c r="J217" s="114">
        <v>56575</v>
      </c>
      <c r="K217" s="114">
        <v>174</v>
      </c>
      <c r="L217" s="45" t="s">
        <v>40</v>
      </c>
      <c r="M217" s="45"/>
      <c r="N217" s="45" t="s">
        <v>20</v>
      </c>
      <c r="O217" s="84">
        <v>5.2041730205988429E-2</v>
      </c>
    </row>
    <row r="218" spans="1:15" x14ac:dyDescent="0.3">
      <c r="A218" s="44" t="s">
        <v>251</v>
      </c>
      <c r="B218" s="45" t="s">
        <v>13</v>
      </c>
      <c r="C218" s="46">
        <v>45808</v>
      </c>
      <c r="D218" s="45" t="s">
        <v>14</v>
      </c>
      <c r="E218" s="45" t="s">
        <v>31</v>
      </c>
      <c r="F218" s="114">
        <v>2169</v>
      </c>
      <c r="G218" s="114">
        <v>240</v>
      </c>
      <c r="H218" s="114">
        <v>57</v>
      </c>
      <c r="I218" s="114">
        <v>26109</v>
      </c>
      <c r="J218" s="114">
        <v>46667</v>
      </c>
      <c r="K218" s="114">
        <v>133</v>
      </c>
      <c r="L218" s="45" t="s">
        <v>40</v>
      </c>
      <c r="M218" s="45" t="s">
        <v>37</v>
      </c>
      <c r="N218" s="45" t="s">
        <v>16</v>
      </c>
      <c r="O218" s="84">
        <v>9.4450189589796618E-2</v>
      </c>
    </row>
    <row r="219" spans="1:15" x14ac:dyDescent="0.3">
      <c r="A219" s="41" t="s">
        <v>252</v>
      </c>
      <c r="B219" s="42" t="s">
        <v>22</v>
      </c>
      <c r="C219" s="43">
        <v>45579</v>
      </c>
      <c r="D219" s="42" t="s">
        <v>23</v>
      </c>
      <c r="E219" s="42" t="s">
        <v>18</v>
      </c>
      <c r="F219" s="113">
        <v>4303</v>
      </c>
      <c r="G219" s="113">
        <v>306</v>
      </c>
      <c r="H219" s="113">
        <v>302</v>
      </c>
      <c r="I219" s="113">
        <v>39575</v>
      </c>
      <c r="J219" s="113">
        <v>33762</v>
      </c>
      <c r="K219" s="113">
        <v>265</v>
      </c>
      <c r="L219" s="42" t="s">
        <v>19</v>
      </c>
      <c r="M219" s="42" t="s">
        <v>337</v>
      </c>
      <c r="N219" s="42" t="s">
        <v>16</v>
      </c>
      <c r="O219" s="83">
        <v>0.12409349336702463</v>
      </c>
    </row>
    <row r="220" spans="1:15" x14ac:dyDescent="0.3">
      <c r="A220" s="44" t="s">
        <v>253</v>
      </c>
      <c r="B220" s="45" t="s">
        <v>22</v>
      </c>
      <c r="C220" s="46">
        <v>45332</v>
      </c>
      <c r="D220" s="45" t="s">
        <v>14</v>
      </c>
      <c r="E220" s="45" t="s">
        <v>44</v>
      </c>
      <c r="F220" s="114">
        <v>1519</v>
      </c>
      <c r="G220" s="114">
        <v>456</v>
      </c>
      <c r="H220" s="114">
        <v>379</v>
      </c>
      <c r="I220" s="114">
        <v>51611</v>
      </c>
      <c r="J220" s="114">
        <v>45880</v>
      </c>
      <c r="K220" s="114">
        <v>176</v>
      </c>
      <c r="L220" s="45" t="s">
        <v>40</v>
      </c>
      <c r="M220" s="45"/>
      <c r="N220" s="45" t="s">
        <v>20</v>
      </c>
      <c r="O220" s="84">
        <v>4.5610431884675749E-2</v>
      </c>
    </row>
    <row r="221" spans="1:15" x14ac:dyDescent="0.3">
      <c r="A221" s="41" t="s">
        <v>254</v>
      </c>
      <c r="B221" s="42" t="s">
        <v>28</v>
      </c>
      <c r="C221" s="43">
        <v>45636</v>
      </c>
      <c r="D221" s="42" t="s">
        <v>14</v>
      </c>
      <c r="E221" s="42" t="s">
        <v>31</v>
      </c>
      <c r="F221" s="113">
        <v>2569</v>
      </c>
      <c r="G221" s="113">
        <v>140</v>
      </c>
      <c r="H221" s="113">
        <v>375</v>
      </c>
      <c r="I221" s="113">
        <v>38372</v>
      </c>
      <c r="J221" s="113">
        <v>22102</v>
      </c>
      <c r="K221" s="113">
        <v>255</v>
      </c>
      <c r="L221" s="42" t="s">
        <v>19</v>
      </c>
      <c r="M221" s="42" t="s">
        <v>338</v>
      </c>
      <c r="N221" s="42" t="s">
        <v>20</v>
      </c>
      <c r="O221" s="83">
        <v>8.0371103929948923E-2</v>
      </c>
    </row>
    <row r="222" spans="1:15" x14ac:dyDescent="0.3">
      <c r="A222" s="41" t="s">
        <v>255</v>
      </c>
      <c r="B222" s="42" t="s">
        <v>22</v>
      </c>
      <c r="C222" s="43">
        <v>45786</v>
      </c>
      <c r="D222" s="42" t="s">
        <v>23</v>
      </c>
      <c r="E222" s="42" t="s">
        <v>29</v>
      </c>
      <c r="F222" s="113">
        <v>2778</v>
      </c>
      <c r="G222" s="113">
        <v>241</v>
      </c>
      <c r="H222" s="113">
        <v>317</v>
      </c>
      <c r="I222" s="113">
        <v>26247</v>
      </c>
      <c r="J222" s="113">
        <v>20677</v>
      </c>
      <c r="K222" s="113">
        <v>282</v>
      </c>
      <c r="L222" s="42" t="s">
        <v>337</v>
      </c>
      <c r="M222" s="42" t="s">
        <v>37</v>
      </c>
      <c r="N222" s="42" t="s">
        <v>16</v>
      </c>
      <c r="O222" s="83">
        <v>0.1271002400274317</v>
      </c>
    </row>
    <row r="223" spans="1:15" x14ac:dyDescent="0.3">
      <c r="A223" s="44" t="s">
        <v>256</v>
      </c>
      <c r="B223" s="45" t="s">
        <v>22</v>
      </c>
      <c r="C223" s="46">
        <v>45829</v>
      </c>
      <c r="D223" s="45" t="s">
        <v>14</v>
      </c>
      <c r="E223" s="45" t="s">
        <v>18</v>
      </c>
      <c r="F223" s="114">
        <v>3611</v>
      </c>
      <c r="G223" s="114">
        <v>127</v>
      </c>
      <c r="H223" s="114">
        <v>139</v>
      </c>
      <c r="I223" s="114">
        <v>44768</v>
      </c>
      <c r="J223" s="114">
        <v>29435</v>
      </c>
      <c r="K223" s="114">
        <v>178</v>
      </c>
      <c r="L223" s="45" t="s">
        <v>37</v>
      </c>
      <c r="M223" s="45"/>
      <c r="N223" s="45" t="s">
        <v>16</v>
      </c>
      <c r="O223" s="84">
        <v>8.6602037169406718E-2</v>
      </c>
    </row>
    <row r="224" spans="1:15" x14ac:dyDescent="0.3">
      <c r="A224" s="41" t="s">
        <v>257</v>
      </c>
      <c r="B224" s="42" t="s">
        <v>22</v>
      </c>
      <c r="C224" s="43">
        <v>45462</v>
      </c>
      <c r="D224" s="42" t="s">
        <v>14</v>
      </c>
      <c r="E224" s="42" t="s">
        <v>31</v>
      </c>
      <c r="F224" s="113">
        <v>1224</v>
      </c>
      <c r="G224" s="113">
        <v>168</v>
      </c>
      <c r="H224" s="113">
        <v>199</v>
      </c>
      <c r="I224" s="113">
        <v>54232</v>
      </c>
      <c r="J224" s="113">
        <v>52844</v>
      </c>
      <c r="K224" s="113">
        <v>271</v>
      </c>
      <c r="L224" s="42" t="s">
        <v>40</v>
      </c>
      <c r="M224" s="42"/>
      <c r="N224" s="42" t="s">
        <v>20</v>
      </c>
      <c r="O224" s="83">
        <v>2.9336922849977874E-2</v>
      </c>
    </row>
    <row r="225" spans="1:15" x14ac:dyDescent="0.3">
      <c r="A225" s="44" t="s">
        <v>258</v>
      </c>
      <c r="B225" s="45" t="s">
        <v>22</v>
      </c>
      <c r="C225" s="46">
        <v>45636</v>
      </c>
      <c r="D225" s="45" t="s">
        <v>14</v>
      </c>
      <c r="E225" s="45" t="s">
        <v>44</v>
      </c>
      <c r="F225" s="114">
        <v>4673</v>
      </c>
      <c r="G225" s="114">
        <v>270</v>
      </c>
      <c r="H225" s="114">
        <v>93</v>
      </c>
      <c r="I225" s="114">
        <v>45260</v>
      </c>
      <c r="J225" s="114">
        <v>57513</v>
      </c>
      <c r="K225" s="114">
        <v>103</v>
      </c>
      <c r="L225" s="45" t="s">
        <v>37</v>
      </c>
      <c r="M225" s="45"/>
      <c r="N225" s="45" t="s">
        <v>16</v>
      </c>
      <c r="O225" s="84">
        <v>0.11126822801590809</v>
      </c>
    </row>
    <row r="226" spans="1:15" x14ac:dyDescent="0.3">
      <c r="A226" s="44" t="s">
        <v>259</v>
      </c>
      <c r="B226" s="45" t="s">
        <v>28</v>
      </c>
      <c r="C226" s="46">
        <v>45323</v>
      </c>
      <c r="D226" s="45" t="s">
        <v>14</v>
      </c>
      <c r="E226" s="45" t="s">
        <v>26</v>
      </c>
      <c r="F226" s="114">
        <v>1432</v>
      </c>
      <c r="G226" s="114">
        <v>437</v>
      </c>
      <c r="H226" s="114">
        <v>267</v>
      </c>
      <c r="I226" s="114">
        <v>40634</v>
      </c>
      <c r="J226" s="114">
        <v>54511</v>
      </c>
      <c r="K226" s="114">
        <v>197</v>
      </c>
      <c r="L226" s="45" t="s">
        <v>19</v>
      </c>
      <c r="M226" s="45" t="s">
        <v>338</v>
      </c>
      <c r="N226" s="45" t="s">
        <v>20</v>
      </c>
      <c r="O226" s="84">
        <v>5.2566815966924252E-2</v>
      </c>
    </row>
    <row r="227" spans="1:15" x14ac:dyDescent="0.3">
      <c r="A227" s="41" t="s">
        <v>260</v>
      </c>
      <c r="B227" s="42" t="s">
        <v>22</v>
      </c>
      <c r="C227" s="43">
        <v>45308</v>
      </c>
      <c r="D227" s="42" t="s">
        <v>23</v>
      </c>
      <c r="E227" s="42" t="s">
        <v>24</v>
      </c>
      <c r="F227" s="113">
        <v>2174</v>
      </c>
      <c r="G227" s="113">
        <v>499</v>
      </c>
      <c r="H227" s="113">
        <v>212</v>
      </c>
      <c r="I227" s="113">
        <v>54938</v>
      </c>
      <c r="J227" s="113">
        <v>27190</v>
      </c>
      <c r="K227" s="113">
        <v>265</v>
      </c>
      <c r="L227" s="42" t="s">
        <v>337</v>
      </c>
      <c r="M227" s="42" t="s">
        <v>37</v>
      </c>
      <c r="N227" s="42" t="s">
        <v>16</v>
      </c>
      <c r="O227" s="83">
        <v>5.2513742764570971E-2</v>
      </c>
    </row>
    <row r="228" spans="1:15" x14ac:dyDescent="0.3">
      <c r="A228" s="44" t="s">
        <v>261</v>
      </c>
      <c r="B228" s="45" t="s">
        <v>28</v>
      </c>
      <c r="C228" s="46">
        <v>45738</v>
      </c>
      <c r="D228" s="45" t="s">
        <v>14</v>
      </c>
      <c r="E228" s="45" t="s">
        <v>29</v>
      </c>
      <c r="F228" s="114">
        <v>4308</v>
      </c>
      <c r="G228" s="114">
        <v>171</v>
      </c>
      <c r="H228" s="114">
        <v>106</v>
      </c>
      <c r="I228" s="114">
        <v>36955</v>
      </c>
      <c r="J228" s="114">
        <v>23949</v>
      </c>
      <c r="K228" s="114">
        <v>294</v>
      </c>
      <c r="L228" s="45" t="s">
        <v>19</v>
      </c>
      <c r="M228" s="45" t="s">
        <v>338</v>
      </c>
      <c r="N228" s="45" t="s">
        <v>20</v>
      </c>
      <c r="O228" s="84">
        <v>0.12406981463942633</v>
      </c>
    </row>
    <row r="229" spans="1:15" x14ac:dyDescent="0.3">
      <c r="A229" s="41" t="s">
        <v>262</v>
      </c>
      <c r="B229" s="42" t="s">
        <v>28</v>
      </c>
      <c r="C229" s="43">
        <v>45442</v>
      </c>
      <c r="D229" s="42" t="s">
        <v>52</v>
      </c>
      <c r="E229" s="42" t="s">
        <v>31</v>
      </c>
      <c r="F229" s="113">
        <v>1060</v>
      </c>
      <c r="G229" s="113">
        <v>442</v>
      </c>
      <c r="H229" s="113">
        <v>319</v>
      </c>
      <c r="I229" s="113">
        <v>57194</v>
      </c>
      <c r="J229" s="113">
        <v>24258</v>
      </c>
      <c r="K229" s="113">
        <v>101</v>
      </c>
      <c r="L229" s="42" t="s">
        <v>19</v>
      </c>
      <c r="M229" s="42" t="s">
        <v>40</v>
      </c>
      <c r="N229" s="42" t="s">
        <v>53</v>
      </c>
      <c r="O229" s="83">
        <v>3.1839004091338254E-2</v>
      </c>
    </row>
    <row r="230" spans="1:15" x14ac:dyDescent="0.3">
      <c r="A230" s="44" t="s">
        <v>263</v>
      </c>
      <c r="B230" s="45" t="s">
        <v>28</v>
      </c>
      <c r="C230" s="46">
        <v>45346</v>
      </c>
      <c r="D230" s="45" t="s">
        <v>14</v>
      </c>
      <c r="E230" s="45" t="s">
        <v>29</v>
      </c>
      <c r="F230" s="114">
        <v>4653</v>
      </c>
      <c r="G230" s="114">
        <v>226</v>
      </c>
      <c r="H230" s="114">
        <v>349</v>
      </c>
      <c r="I230" s="114">
        <v>56876</v>
      </c>
      <c r="J230" s="114">
        <v>28452</v>
      </c>
      <c r="K230" s="114">
        <v>257</v>
      </c>
      <c r="L230" s="45" t="s">
        <v>19</v>
      </c>
      <c r="M230" s="45" t="s">
        <v>338</v>
      </c>
      <c r="N230" s="45" t="s">
        <v>20</v>
      </c>
      <c r="O230" s="84">
        <v>9.191926295801392E-2</v>
      </c>
    </row>
    <row r="231" spans="1:15" x14ac:dyDescent="0.3">
      <c r="A231" s="41" t="s">
        <v>264</v>
      </c>
      <c r="B231" s="42" t="s">
        <v>28</v>
      </c>
      <c r="C231" s="43">
        <v>45791</v>
      </c>
      <c r="D231" s="42" t="s">
        <v>14</v>
      </c>
      <c r="E231" s="42" t="s">
        <v>15</v>
      </c>
      <c r="F231" s="113">
        <v>1701</v>
      </c>
      <c r="G231" s="113">
        <v>272</v>
      </c>
      <c r="H231" s="113">
        <v>385</v>
      </c>
      <c r="I231" s="113">
        <v>47496</v>
      </c>
      <c r="J231" s="113">
        <v>40832</v>
      </c>
      <c r="K231" s="113">
        <v>246</v>
      </c>
      <c r="L231" s="42" t="s">
        <v>19</v>
      </c>
      <c r="M231" s="42" t="s">
        <v>338</v>
      </c>
      <c r="N231" s="42" t="s">
        <v>20</v>
      </c>
      <c r="O231" s="83">
        <v>4.9646286003031836E-2</v>
      </c>
    </row>
    <row r="232" spans="1:15" x14ac:dyDescent="0.3">
      <c r="A232" s="41" t="s">
        <v>265</v>
      </c>
      <c r="B232" s="42" t="s">
        <v>13</v>
      </c>
      <c r="C232" s="43">
        <v>45379</v>
      </c>
      <c r="D232" s="42" t="s">
        <v>14</v>
      </c>
      <c r="E232" s="42" t="s">
        <v>31</v>
      </c>
      <c r="F232" s="113">
        <v>1673</v>
      </c>
      <c r="G232" s="113">
        <v>280</v>
      </c>
      <c r="H232" s="113">
        <v>67</v>
      </c>
      <c r="I232" s="113">
        <v>29847</v>
      </c>
      <c r="J232" s="113">
        <v>48016</v>
      </c>
      <c r="K232" s="113">
        <v>213</v>
      </c>
      <c r="L232" s="42" t="s">
        <v>40</v>
      </c>
      <c r="M232" s="42" t="s">
        <v>37</v>
      </c>
      <c r="N232" s="42" t="s">
        <v>16</v>
      </c>
      <c r="O232" s="83">
        <v>6.76784936509532E-2</v>
      </c>
    </row>
    <row r="233" spans="1:15" x14ac:dyDescent="0.3">
      <c r="A233" s="44" t="s">
        <v>266</v>
      </c>
      <c r="B233" s="45" t="s">
        <v>28</v>
      </c>
      <c r="C233" s="46">
        <v>45723</v>
      </c>
      <c r="D233" s="45" t="s">
        <v>14</v>
      </c>
      <c r="E233" s="45" t="s">
        <v>36</v>
      </c>
      <c r="F233" s="114">
        <v>4310</v>
      </c>
      <c r="G233" s="114">
        <v>284</v>
      </c>
      <c r="H233" s="114">
        <v>306</v>
      </c>
      <c r="I233" s="114">
        <v>44606</v>
      </c>
      <c r="J233" s="114">
        <v>42604</v>
      </c>
      <c r="K233" s="114">
        <v>290</v>
      </c>
      <c r="L233" s="45" t="s">
        <v>19</v>
      </c>
      <c r="M233" s="45" t="s">
        <v>338</v>
      </c>
      <c r="N233" s="45" t="s">
        <v>20</v>
      </c>
      <c r="O233" s="84">
        <v>0.10985069273191947</v>
      </c>
    </row>
    <row r="234" spans="1:15" x14ac:dyDescent="0.3">
      <c r="A234" s="41" t="s">
        <v>267</v>
      </c>
      <c r="B234" s="42" t="s">
        <v>22</v>
      </c>
      <c r="C234" s="43">
        <v>45585</v>
      </c>
      <c r="D234" s="42" t="s">
        <v>14</v>
      </c>
      <c r="E234" s="42" t="s">
        <v>44</v>
      </c>
      <c r="F234" s="113">
        <v>2752</v>
      </c>
      <c r="G234" s="113">
        <v>309</v>
      </c>
      <c r="H234" s="113">
        <v>91</v>
      </c>
      <c r="I234" s="113">
        <v>39038</v>
      </c>
      <c r="J234" s="113">
        <v>28095</v>
      </c>
      <c r="K234" s="113">
        <v>277</v>
      </c>
      <c r="L234" s="42" t="s">
        <v>37</v>
      </c>
      <c r="M234" s="42"/>
      <c r="N234" s="42" t="s">
        <v>16</v>
      </c>
      <c r="O234" s="83">
        <v>8.0741841282852611E-2</v>
      </c>
    </row>
    <row r="235" spans="1:15" x14ac:dyDescent="0.3">
      <c r="A235" s="44" t="s">
        <v>268</v>
      </c>
      <c r="B235" s="45" t="s">
        <v>22</v>
      </c>
      <c r="C235" s="46">
        <v>45324</v>
      </c>
      <c r="D235" s="45" t="s">
        <v>14</v>
      </c>
      <c r="E235" s="45" t="s">
        <v>44</v>
      </c>
      <c r="F235" s="114">
        <v>3818</v>
      </c>
      <c r="G235" s="114">
        <v>115</v>
      </c>
      <c r="H235" s="114">
        <v>286</v>
      </c>
      <c r="I235" s="114">
        <v>25127</v>
      </c>
      <c r="J235" s="114">
        <v>22277</v>
      </c>
      <c r="K235" s="114">
        <v>263</v>
      </c>
      <c r="L235" s="45" t="s">
        <v>37</v>
      </c>
      <c r="M235" s="45"/>
      <c r="N235" s="45" t="s">
        <v>16</v>
      </c>
      <c r="O235" s="84">
        <v>0.16790703227603773</v>
      </c>
    </row>
    <row r="236" spans="1:15" x14ac:dyDescent="0.3">
      <c r="A236" s="44" t="s">
        <v>269</v>
      </c>
      <c r="B236" s="45" t="s">
        <v>28</v>
      </c>
      <c r="C236" s="46">
        <v>45542</v>
      </c>
      <c r="D236" s="45" t="s">
        <v>14</v>
      </c>
      <c r="E236" s="45" t="s">
        <v>46</v>
      </c>
      <c r="F236" s="114">
        <v>2101</v>
      </c>
      <c r="G236" s="114">
        <v>411</v>
      </c>
      <c r="H236" s="114">
        <v>190</v>
      </c>
      <c r="I236" s="114">
        <v>41791</v>
      </c>
      <c r="J236" s="114">
        <v>57090</v>
      </c>
      <c r="K236" s="114">
        <v>172</v>
      </c>
      <c r="L236" s="45" t="s">
        <v>19</v>
      </c>
      <c r="M236" s="45" t="s">
        <v>338</v>
      </c>
      <c r="N236" s="45" t="s">
        <v>20</v>
      </c>
      <c r="O236" s="84">
        <v>6.4655069273288512E-2</v>
      </c>
    </row>
    <row r="237" spans="1:15" x14ac:dyDescent="0.3">
      <c r="A237" s="44" t="s">
        <v>270</v>
      </c>
      <c r="B237" s="45" t="s">
        <v>13</v>
      </c>
      <c r="C237" s="46">
        <v>45646</v>
      </c>
      <c r="D237" s="45" t="s">
        <v>14</v>
      </c>
      <c r="E237" s="45" t="s">
        <v>15</v>
      </c>
      <c r="F237" s="114">
        <v>2519</v>
      </c>
      <c r="G237" s="114">
        <v>202</v>
      </c>
      <c r="H237" s="114">
        <v>239</v>
      </c>
      <c r="I237" s="114">
        <v>36245</v>
      </c>
      <c r="J237" s="114">
        <v>48606</v>
      </c>
      <c r="K237" s="114">
        <v>145</v>
      </c>
      <c r="L237" s="45" t="s">
        <v>19</v>
      </c>
      <c r="M237" s="45"/>
      <c r="N237" s="45" t="s">
        <v>20</v>
      </c>
      <c r="O237" s="84">
        <v>8.1666436749896543E-2</v>
      </c>
    </row>
    <row r="238" spans="1:15" x14ac:dyDescent="0.3">
      <c r="A238" s="41" t="s">
        <v>271</v>
      </c>
      <c r="B238" s="42" t="s">
        <v>28</v>
      </c>
      <c r="C238" s="43">
        <v>45305</v>
      </c>
      <c r="D238" s="42" t="s">
        <v>14</v>
      </c>
      <c r="E238" s="42" t="s">
        <v>31</v>
      </c>
      <c r="F238" s="113">
        <v>4502</v>
      </c>
      <c r="G238" s="113">
        <v>238</v>
      </c>
      <c r="H238" s="113">
        <v>386</v>
      </c>
      <c r="I238" s="113">
        <v>39198</v>
      </c>
      <c r="J238" s="113">
        <v>25050</v>
      </c>
      <c r="K238" s="113">
        <v>297</v>
      </c>
      <c r="L238" s="42" t="s">
        <v>19</v>
      </c>
      <c r="M238" s="42" t="s">
        <v>338</v>
      </c>
      <c r="N238" s="42" t="s">
        <v>20</v>
      </c>
      <c r="O238" s="83">
        <v>0.13077197816215114</v>
      </c>
    </row>
    <row r="239" spans="1:15" x14ac:dyDescent="0.3">
      <c r="A239" s="44" t="s">
        <v>272</v>
      </c>
      <c r="B239" s="45" t="s">
        <v>13</v>
      </c>
      <c r="C239" s="46">
        <v>45823</v>
      </c>
      <c r="D239" s="45" t="s">
        <v>14</v>
      </c>
      <c r="E239" s="45" t="s">
        <v>18</v>
      </c>
      <c r="F239" s="114">
        <v>2478</v>
      </c>
      <c r="G239" s="114">
        <v>427</v>
      </c>
      <c r="H239" s="114">
        <v>242</v>
      </c>
      <c r="I239" s="114">
        <v>59272</v>
      </c>
      <c r="J239" s="114">
        <v>37833</v>
      </c>
      <c r="K239" s="114">
        <v>214</v>
      </c>
      <c r="L239" s="45" t="s">
        <v>40</v>
      </c>
      <c r="M239" s="45" t="s">
        <v>37</v>
      </c>
      <c r="N239" s="45" t="s">
        <v>16</v>
      </c>
      <c r="O239" s="84">
        <v>5.3094209744904843E-2</v>
      </c>
    </row>
    <row r="240" spans="1:15" x14ac:dyDescent="0.3">
      <c r="A240" s="41" t="s">
        <v>273</v>
      </c>
      <c r="B240" s="42" t="s">
        <v>22</v>
      </c>
      <c r="C240" s="43">
        <v>45639</v>
      </c>
      <c r="D240" s="42" t="s">
        <v>23</v>
      </c>
      <c r="E240" s="42" t="s">
        <v>24</v>
      </c>
      <c r="F240" s="113">
        <v>4984</v>
      </c>
      <c r="G240" s="113">
        <v>300</v>
      </c>
      <c r="H240" s="113">
        <v>338</v>
      </c>
      <c r="I240" s="113">
        <v>32900</v>
      </c>
      <c r="J240" s="113">
        <v>31691</v>
      </c>
      <c r="K240" s="113">
        <v>160</v>
      </c>
      <c r="L240" s="42" t="s">
        <v>337</v>
      </c>
      <c r="M240" s="42" t="s">
        <v>37</v>
      </c>
      <c r="N240" s="42" t="s">
        <v>16</v>
      </c>
      <c r="O240" s="83">
        <v>0.17088145896656534</v>
      </c>
    </row>
    <row r="241" spans="1:15" x14ac:dyDescent="0.3">
      <c r="A241" s="41" t="s">
        <v>274</v>
      </c>
      <c r="B241" s="42" t="s">
        <v>28</v>
      </c>
      <c r="C241" s="43">
        <v>45533</v>
      </c>
      <c r="D241" s="42" t="s">
        <v>14</v>
      </c>
      <c r="E241" s="42" t="s">
        <v>26</v>
      </c>
      <c r="F241" s="113">
        <v>4774</v>
      </c>
      <c r="G241" s="113">
        <v>389</v>
      </c>
      <c r="H241" s="113">
        <v>358</v>
      </c>
      <c r="I241" s="113">
        <v>52346</v>
      </c>
      <c r="J241" s="113">
        <v>30518</v>
      </c>
      <c r="K241" s="113">
        <v>277</v>
      </c>
      <c r="L241" s="42" t="s">
        <v>19</v>
      </c>
      <c r="M241" s="42" t="s">
        <v>338</v>
      </c>
      <c r="N241" s="42" t="s">
        <v>20</v>
      </c>
      <c r="O241" s="83">
        <v>0.10547128720437092</v>
      </c>
    </row>
    <row r="242" spans="1:15" x14ac:dyDescent="0.3">
      <c r="A242" s="44" t="s">
        <v>275</v>
      </c>
      <c r="B242" s="45" t="s">
        <v>22</v>
      </c>
      <c r="C242" s="46">
        <v>45550</v>
      </c>
      <c r="D242" s="45" t="s">
        <v>14</v>
      </c>
      <c r="E242" s="45" t="s">
        <v>33</v>
      </c>
      <c r="F242" s="114">
        <v>2145</v>
      </c>
      <c r="G242" s="114">
        <v>340</v>
      </c>
      <c r="H242" s="114">
        <v>85</v>
      </c>
      <c r="I242" s="114">
        <v>53323</v>
      </c>
      <c r="J242" s="114">
        <v>49938</v>
      </c>
      <c r="K242" s="114">
        <v>104</v>
      </c>
      <c r="L242" s="45" t="s">
        <v>37</v>
      </c>
      <c r="M242" s="45"/>
      <c r="N242" s="45" t="s">
        <v>16</v>
      </c>
      <c r="O242" s="84">
        <v>4.819683813738912E-2</v>
      </c>
    </row>
    <row r="243" spans="1:15" x14ac:dyDescent="0.3">
      <c r="A243" s="44" t="s">
        <v>276</v>
      </c>
      <c r="B243" s="45" t="s">
        <v>22</v>
      </c>
      <c r="C243" s="46">
        <v>45759</v>
      </c>
      <c r="D243" s="45" t="s">
        <v>23</v>
      </c>
      <c r="E243" s="45" t="s">
        <v>44</v>
      </c>
      <c r="F243" s="114">
        <v>4315</v>
      </c>
      <c r="G243" s="114">
        <v>208</v>
      </c>
      <c r="H243" s="114">
        <v>273</v>
      </c>
      <c r="I243" s="114">
        <v>35780</v>
      </c>
      <c r="J243" s="114">
        <v>44349</v>
      </c>
      <c r="K243" s="114">
        <v>133</v>
      </c>
      <c r="L243" s="45" t="s">
        <v>19</v>
      </c>
      <c r="M243" s="45" t="s">
        <v>337</v>
      </c>
      <c r="N243" s="45" t="s">
        <v>16</v>
      </c>
      <c r="O243" s="84">
        <v>0.13404136389044158</v>
      </c>
    </row>
    <row r="244" spans="1:15" x14ac:dyDescent="0.3">
      <c r="A244" s="44" t="s">
        <v>277</v>
      </c>
      <c r="B244" s="45" t="s">
        <v>22</v>
      </c>
      <c r="C244" s="46">
        <v>45636</v>
      </c>
      <c r="D244" s="45" t="s">
        <v>23</v>
      </c>
      <c r="E244" s="45" t="s">
        <v>26</v>
      </c>
      <c r="F244" s="114">
        <v>2267</v>
      </c>
      <c r="G244" s="114">
        <v>230</v>
      </c>
      <c r="H244" s="114">
        <v>243</v>
      </c>
      <c r="I244" s="114">
        <v>27904</v>
      </c>
      <c r="J244" s="114">
        <v>69771</v>
      </c>
      <c r="K244" s="114">
        <v>255</v>
      </c>
      <c r="L244" s="45" t="s">
        <v>19</v>
      </c>
      <c r="M244" s="45" t="s">
        <v>337</v>
      </c>
      <c r="N244" s="45" t="s">
        <v>16</v>
      </c>
      <c r="O244" s="84">
        <v>9.8193807339449546E-2</v>
      </c>
    </row>
    <row r="245" spans="1:15" x14ac:dyDescent="0.3">
      <c r="A245" s="44" t="s">
        <v>278</v>
      </c>
      <c r="B245" s="45" t="s">
        <v>28</v>
      </c>
      <c r="C245" s="46">
        <v>45816</v>
      </c>
      <c r="D245" s="45" t="s">
        <v>14</v>
      </c>
      <c r="E245" s="45" t="s">
        <v>29</v>
      </c>
      <c r="F245" s="114">
        <v>4375</v>
      </c>
      <c r="G245" s="114">
        <v>303</v>
      </c>
      <c r="H245" s="114">
        <v>294</v>
      </c>
      <c r="I245" s="114">
        <v>57468</v>
      </c>
      <c r="J245" s="114">
        <v>53397</v>
      </c>
      <c r="K245" s="114">
        <v>159</v>
      </c>
      <c r="L245" s="45" t="s">
        <v>19</v>
      </c>
      <c r="M245" s="45" t="s">
        <v>338</v>
      </c>
      <c r="N245" s="45" t="s">
        <v>20</v>
      </c>
      <c r="O245" s="84">
        <v>8.6517714206166912E-2</v>
      </c>
    </row>
    <row r="246" spans="1:15" x14ac:dyDescent="0.3">
      <c r="A246" s="44" t="s">
        <v>279</v>
      </c>
      <c r="B246" s="45" t="s">
        <v>22</v>
      </c>
      <c r="C246" s="46">
        <v>45666</v>
      </c>
      <c r="D246" s="45" t="s">
        <v>23</v>
      </c>
      <c r="E246" s="45" t="s">
        <v>46</v>
      </c>
      <c r="F246" s="114">
        <v>3817</v>
      </c>
      <c r="G246" s="114">
        <v>284</v>
      </c>
      <c r="H246" s="114">
        <v>204</v>
      </c>
      <c r="I246" s="114">
        <v>46434</v>
      </c>
      <c r="J246" s="114">
        <v>53396</v>
      </c>
      <c r="K246" s="114">
        <v>104</v>
      </c>
      <c r="L246" s="45" t="s">
        <v>337</v>
      </c>
      <c r="M246" s="45" t="s">
        <v>37</v>
      </c>
      <c r="N246" s="45" t="s">
        <v>16</v>
      </c>
      <c r="O246" s="84">
        <v>9.2712236723090841E-2</v>
      </c>
    </row>
    <row r="247" spans="1:15" x14ac:dyDescent="0.3">
      <c r="A247" s="44" t="s">
        <v>280</v>
      </c>
      <c r="B247" s="45" t="s">
        <v>22</v>
      </c>
      <c r="C247" s="46">
        <v>45481</v>
      </c>
      <c r="D247" s="45" t="s">
        <v>23</v>
      </c>
      <c r="E247" s="45" t="s">
        <v>36</v>
      </c>
      <c r="F247" s="114">
        <v>2981</v>
      </c>
      <c r="G247" s="114">
        <v>258</v>
      </c>
      <c r="H247" s="114">
        <v>168</v>
      </c>
      <c r="I247" s="114">
        <v>20677</v>
      </c>
      <c r="J247" s="114">
        <v>68290</v>
      </c>
      <c r="K247" s="114">
        <v>130</v>
      </c>
      <c r="L247" s="45" t="s">
        <v>40</v>
      </c>
      <c r="M247" s="45" t="s">
        <v>37</v>
      </c>
      <c r="N247" s="45" t="s">
        <v>16</v>
      </c>
      <c r="O247" s="84">
        <v>0.16477245248343569</v>
      </c>
    </row>
    <row r="248" spans="1:15" x14ac:dyDescent="0.3">
      <c r="A248" s="41" t="s">
        <v>281</v>
      </c>
      <c r="B248" s="42" t="s">
        <v>22</v>
      </c>
      <c r="C248" s="43">
        <v>45551</v>
      </c>
      <c r="D248" s="42" t="s">
        <v>23</v>
      </c>
      <c r="E248" s="42" t="s">
        <v>46</v>
      </c>
      <c r="F248" s="113">
        <v>3300</v>
      </c>
      <c r="G248" s="113">
        <v>354</v>
      </c>
      <c r="H248" s="113">
        <v>397</v>
      </c>
      <c r="I248" s="113">
        <v>56773</v>
      </c>
      <c r="J248" s="113">
        <v>72110</v>
      </c>
      <c r="K248" s="113">
        <v>163</v>
      </c>
      <c r="L248" s="42" t="s">
        <v>19</v>
      </c>
      <c r="M248" s="42" t="s">
        <v>337</v>
      </c>
      <c r="N248" s="42" t="s">
        <v>16</v>
      </c>
      <c r="O248" s="83">
        <v>7.1354340971940891E-2</v>
      </c>
    </row>
    <row r="249" spans="1:15" x14ac:dyDescent="0.3">
      <c r="A249" s="44" t="s">
        <v>282</v>
      </c>
      <c r="B249" s="45" t="s">
        <v>28</v>
      </c>
      <c r="C249" s="46">
        <v>45457</v>
      </c>
      <c r="D249" s="45" t="s">
        <v>52</v>
      </c>
      <c r="E249" s="45" t="s">
        <v>26</v>
      </c>
      <c r="F249" s="114">
        <v>4722</v>
      </c>
      <c r="G249" s="114">
        <v>310</v>
      </c>
      <c r="H249" s="114">
        <v>344</v>
      </c>
      <c r="I249" s="114">
        <v>27911</v>
      </c>
      <c r="J249" s="114">
        <v>19000</v>
      </c>
      <c r="K249" s="114">
        <v>225</v>
      </c>
      <c r="L249" s="45" t="s">
        <v>19</v>
      </c>
      <c r="M249" s="45" t="s">
        <v>40</v>
      </c>
      <c r="N249" s="45" t="s">
        <v>53</v>
      </c>
      <c r="O249" s="84">
        <v>0.19261223173659131</v>
      </c>
    </row>
    <row r="250" spans="1:15" x14ac:dyDescent="0.3">
      <c r="A250" s="41" t="s">
        <v>283</v>
      </c>
      <c r="B250" s="42" t="s">
        <v>13</v>
      </c>
      <c r="C250" s="43">
        <v>45357</v>
      </c>
      <c r="D250" s="42" t="s">
        <v>14</v>
      </c>
      <c r="E250" s="42" t="s">
        <v>31</v>
      </c>
      <c r="F250" s="113">
        <v>3529</v>
      </c>
      <c r="G250" s="113">
        <v>263</v>
      </c>
      <c r="H250" s="113">
        <v>107</v>
      </c>
      <c r="I250" s="113">
        <v>26570</v>
      </c>
      <c r="J250" s="113">
        <v>19367</v>
      </c>
      <c r="K250" s="113">
        <v>96</v>
      </c>
      <c r="L250" s="42" t="s">
        <v>19</v>
      </c>
      <c r="M250" s="42"/>
      <c r="N250" s="42" t="s">
        <v>20</v>
      </c>
      <c r="O250" s="83">
        <v>0.14674444862627023</v>
      </c>
    </row>
    <row r="251" spans="1:15" x14ac:dyDescent="0.3">
      <c r="A251" s="41" t="s">
        <v>284</v>
      </c>
      <c r="B251" s="42" t="s">
        <v>22</v>
      </c>
      <c r="C251" s="43">
        <v>45792</v>
      </c>
      <c r="D251" s="42" t="s">
        <v>14</v>
      </c>
      <c r="E251" s="42" t="s">
        <v>46</v>
      </c>
      <c r="F251" s="113">
        <v>4782</v>
      </c>
      <c r="G251" s="113">
        <v>210</v>
      </c>
      <c r="H251" s="113">
        <v>311</v>
      </c>
      <c r="I251" s="113">
        <v>29793</v>
      </c>
      <c r="J251" s="113">
        <v>37543</v>
      </c>
      <c r="K251" s="113">
        <v>145</v>
      </c>
      <c r="L251" s="42" t="s">
        <v>37</v>
      </c>
      <c r="M251" s="42"/>
      <c r="N251" s="42" t="s">
        <v>16</v>
      </c>
      <c r="O251" s="83">
        <v>0.17799483100057059</v>
      </c>
    </row>
    <row r="252" spans="1:15" x14ac:dyDescent="0.3">
      <c r="A252" s="41" t="s">
        <v>285</v>
      </c>
      <c r="B252" s="42" t="s">
        <v>22</v>
      </c>
      <c r="C252" s="43">
        <v>45480</v>
      </c>
      <c r="D252" s="42" t="s">
        <v>14</v>
      </c>
      <c r="E252" s="42" t="s">
        <v>31</v>
      </c>
      <c r="F252" s="113">
        <v>1848</v>
      </c>
      <c r="G252" s="113">
        <v>417</v>
      </c>
      <c r="H252" s="113">
        <v>294</v>
      </c>
      <c r="I252" s="113">
        <v>57819</v>
      </c>
      <c r="J252" s="113">
        <v>19798</v>
      </c>
      <c r="K252" s="113">
        <v>262</v>
      </c>
      <c r="L252" s="42" t="s">
        <v>40</v>
      </c>
      <c r="M252" s="42"/>
      <c r="N252" s="42" t="s">
        <v>20</v>
      </c>
      <c r="O252" s="83">
        <v>4.4258807658382193E-2</v>
      </c>
    </row>
    <row r="253" spans="1:15" x14ac:dyDescent="0.3">
      <c r="A253" s="44" t="s">
        <v>286</v>
      </c>
      <c r="B253" s="45" t="s">
        <v>28</v>
      </c>
      <c r="C253" s="46">
        <v>45591</v>
      </c>
      <c r="D253" s="45" t="s">
        <v>14</v>
      </c>
      <c r="E253" s="45" t="s">
        <v>24</v>
      </c>
      <c r="F253" s="114">
        <v>4676</v>
      </c>
      <c r="G253" s="114">
        <v>211</v>
      </c>
      <c r="H253" s="114">
        <v>55</v>
      </c>
      <c r="I253" s="114">
        <v>45917</v>
      </c>
      <c r="J253" s="114">
        <v>73503</v>
      </c>
      <c r="K253" s="114">
        <v>248</v>
      </c>
      <c r="L253" s="45" t="s">
        <v>19</v>
      </c>
      <c r="M253" s="45" t="s">
        <v>338</v>
      </c>
      <c r="N253" s="45" t="s">
        <v>20</v>
      </c>
      <c r="O253" s="84">
        <v>0.10762898272970794</v>
      </c>
    </row>
    <row r="254" spans="1:15" x14ac:dyDescent="0.3">
      <c r="A254" s="44" t="s">
        <v>287</v>
      </c>
      <c r="B254" s="45" t="s">
        <v>28</v>
      </c>
      <c r="C254" s="46">
        <v>45512</v>
      </c>
      <c r="D254" s="45" t="s">
        <v>14</v>
      </c>
      <c r="E254" s="45" t="s">
        <v>44</v>
      </c>
      <c r="F254" s="114">
        <v>1994</v>
      </c>
      <c r="G254" s="114">
        <v>197</v>
      </c>
      <c r="H254" s="114">
        <v>290</v>
      </c>
      <c r="I254" s="114">
        <v>49500</v>
      </c>
      <c r="J254" s="114">
        <v>23343</v>
      </c>
      <c r="K254" s="114">
        <v>160</v>
      </c>
      <c r="L254" s="45" t="s">
        <v>19</v>
      </c>
      <c r="M254" s="45" t="s">
        <v>338</v>
      </c>
      <c r="N254" s="45" t="s">
        <v>20</v>
      </c>
      <c r="O254" s="84">
        <v>5.0121212121212122E-2</v>
      </c>
    </row>
    <row r="255" spans="1:15" x14ac:dyDescent="0.3">
      <c r="A255" s="44" t="s">
        <v>288</v>
      </c>
      <c r="B255" s="45" t="s">
        <v>22</v>
      </c>
      <c r="C255" s="46">
        <v>45691</v>
      </c>
      <c r="D255" s="45" t="s">
        <v>14</v>
      </c>
      <c r="E255" s="45" t="s">
        <v>31</v>
      </c>
      <c r="F255" s="114">
        <v>4995</v>
      </c>
      <c r="G255" s="114">
        <v>231</v>
      </c>
      <c r="H255" s="114">
        <v>94</v>
      </c>
      <c r="I255" s="114">
        <v>34431</v>
      </c>
      <c r="J255" s="114">
        <v>32560</v>
      </c>
      <c r="K255" s="114">
        <v>262</v>
      </c>
      <c r="L255" s="45" t="s">
        <v>37</v>
      </c>
      <c r="M255" s="45"/>
      <c r="N255" s="45" t="s">
        <v>16</v>
      </c>
      <c r="O255" s="84">
        <v>0.15451192239551567</v>
      </c>
    </row>
    <row r="256" spans="1:15" x14ac:dyDescent="0.3">
      <c r="A256" s="44" t="s">
        <v>289</v>
      </c>
      <c r="B256" s="45" t="s">
        <v>22</v>
      </c>
      <c r="C256" s="46">
        <v>45385</v>
      </c>
      <c r="D256" s="45" t="s">
        <v>23</v>
      </c>
      <c r="E256" s="45" t="s">
        <v>36</v>
      </c>
      <c r="F256" s="114">
        <v>2291</v>
      </c>
      <c r="G256" s="114">
        <v>146</v>
      </c>
      <c r="H256" s="114">
        <v>399</v>
      </c>
      <c r="I256" s="114">
        <v>49319</v>
      </c>
      <c r="J256" s="114">
        <v>28056</v>
      </c>
      <c r="K256" s="114">
        <v>90</v>
      </c>
      <c r="L256" s="45" t="s">
        <v>19</v>
      </c>
      <c r="M256" s="45" t="s">
        <v>337</v>
      </c>
      <c r="N256" s="45" t="s">
        <v>16</v>
      </c>
      <c r="O256" s="84">
        <v>5.7503193495407452E-2</v>
      </c>
    </row>
    <row r="257" spans="1:15" x14ac:dyDescent="0.3">
      <c r="A257" s="44" t="s">
        <v>290</v>
      </c>
      <c r="B257" s="45" t="s">
        <v>22</v>
      </c>
      <c r="C257" s="46">
        <v>45481</v>
      </c>
      <c r="D257" s="45" t="s">
        <v>23</v>
      </c>
      <c r="E257" s="45" t="s">
        <v>26</v>
      </c>
      <c r="F257" s="114">
        <v>2304</v>
      </c>
      <c r="G257" s="114">
        <v>289</v>
      </c>
      <c r="H257" s="114">
        <v>161</v>
      </c>
      <c r="I257" s="114">
        <v>52645</v>
      </c>
      <c r="J257" s="114">
        <v>66262</v>
      </c>
      <c r="K257" s="114">
        <v>146</v>
      </c>
      <c r="L257" s="45" t="s">
        <v>337</v>
      </c>
      <c r="M257" s="45" t="s">
        <v>37</v>
      </c>
      <c r="N257" s="45" t="s">
        <v>16</v>
      </c>
      <c r="O257" s="84">
        <v>5.2312660271630736E-2</v>
      </c>
    </row>
    <row r="258" spans="1:15" x14ac:dyDescent="0.3">
      <c r="A258" s="41" t="s">
        <v>291</v>
      </c>
      <c r="B258" s="42" t="s">
        <v>22</v>
      </c>
      <c r="C258" s="43">
        <v>45451</v>
      </c>
      <c r="D258" s="42" t="s">
        <v>23</v>
      </c>
      <c r="E258" s="42" t="s">
        <v>36</v>
      </c>
      <c r="F258" s="113">
        <v>3413</v>
      </c>
      <c r="G258" s="113">
        <v>326</v>
      </c>
      <c r="H258" s="113">
        <v>86</v>
      </c>
      <c r="I258" s="113">
        <v>44680</v>
      </c>
      <c r="J258" s="113">
        <v>52719</v>
      </c>
      <c r="K258" s="113">
        <v>272</v>
      </c>
      <c r="L258" s="42" t="s">
        <v>19</v>
      </c>
      <c r="M258" s="42" t="s">
        <v>337</v>
      </c>
      <c r="N258" s="42" t="s">
        <v>16</v>
      </c>
      <c r="O258" s="83">
        <v>8.5608773500447627E-2</v>
      </c>
    </row>
    <row r="259" spans="1:15" x14ac:dyDescent="0.3">
      <c r="A259" s="44" t="s">
        <v>292</v>
      </c>
      <c r="B259" s="45" t="s">
        <v>28</v>
      </c>
      <c r="C259" s="46">
        <v>45736</v>
      </c>
      <c r="D259" s="45" t="s">
        <v>52</v>
      </c>
      <c r="E259" s="45" t="s">
        <v>44</v>
      </c>
      <c r="F259" s="114">
        <v>1453</v>
      </c>
      <c r="G259" s="114">
        <v>156</v>
      </c>
      <c r="H259" s="114">
        <v>178</v>
      </c>
      <c r="I259" s="114">
        <v>52980</v>
      </c>
      <c r="J259" s="114">
        <v>57180</v>
      </c>
      <c r="K259" s="114">
        <v>286</v>
      </c>
      <c r="L259" s="45" t="s">
        <v>19</v>
      </c>
      <c r="M259" s="45" t="s">
        <v>40</v>
      </c>
      <c r="N259" s="45" t="s">
        <v>53</v>
      </c>
      <c r="O259" s="84">
        <v>3.3729709324273313E-2</v>
      </c>
    </row>
    <row r="260" spans="1:15" x14ac:dyDescent="0.3">
      <c r="A260" s="44" t="s">
        <v>293</v>
      </c>
      <c r="B260" s="45" t="s">
        <v>22</v>
      </c>
      <c r="C260" s="46">
        <v>45676</v>
      </c>
      <c r="D260" s="45" t="s">
        <v>23</v>
      </c>
      <c r="E260" s="45" t="s">
        <v>29</v>
      </c>
      <c r="F260" s="114">
        <v>1651</v>
      </c>
      <c r="G260" s="114">
        <v>480</v>
      </c>
      <c r="H260" s="114">
        <v>282</v>
      </c>
      <c r="I260" s="114">
        <v>32140</v>
      </c>
      <c r="J260" s="114">
        <v>70560</v>
      </c>
      <c r="K260" s="114">
        <v>138</v>
      </c>
      <c r="L260" s="45" t="s">
        <v>40</v>
      </c>
      <c r="M260" s="45" t="s">
        <v>37</v>
      </c>
      <c r="N260" s="45" t="s">
        <v>16</v>
      </c>
      <c r="O260" s="84">
        <v>7.5077784691972627E-2</v>
      </c>
    </row>
    <row r="261" spans="1:15" x14ac:dyDescent="0.3">
      <c r="A261" s="41" t="s">
        <v>294</v>
      </c>
      <c r="B261" s="42" t="s">
        <v>22</v>
      </c>
      <c r="C261" s="43">
        <v>45662</v>
      </c>
      <c r="D261" s="42" t="s">
        <v>23</v>
      </c>
      <c r="E261" s="42" t="s">
        <v>18</v>
      </c>
      <c r="F261" s="113">
        <v>3341</v>
      </c>
      <c r="G261" s="113">
        <v>154</v>
      </c>
      <c r="H261" s="113">
        <v>123</v>
      </c>
      <c r="I261" s="113">
        <v>43369</v>
      </c>
      <c r="J261" s="113">
        <v>49035</v>
      </c>
      <c r="K261" s="113">
        <v>128</v>
      </c>
      <c r="L261" s="42" t="s">
        <v>337</v>
      </c>
      <c r="M261" s="42" t="s">
        <v>37</v>
      </c>
      <c r="N261" s="42" t="s">
        <v>16</v>
      </c>
      <c r="O261" s="83">
        <v>8.3423643616408028E-2</v>
      </c>
    </row>
    <row r="262" spans="1:15" x14ac:dyDescent="0.3">
      <c r="A262" s="44" t="s">
        <v>295</v>
      </c>
      <c r="B262" s="45" t="s">
        <v>22</v>
      </c>
      <c r="C262" s="46">
        <v>45612</v>
      </c>
      <c r="D262" s="45" t="s">
        <v>14</v>
      </c>
      <c r="E262" s="45" t="s">
        <v>44</v>
      </c>
      <c r="F262" s="114">
        <v>2972</v>
      </c>
      <c r="G262" s="114">
        <v>263</v>
      </c>
      <c r="H262" s="114">
        <v>308</v>
      </c>
      <c r="I262" s="114">
        <v>51740</v>
      </c>
      <c r="J262" s="114">
        <v>28214</v>
      </c>
      <c r="K262" s="114">
        <v>190</v>
      </c>
      <c r="L262" s="45" t="s">
        <v>40</v>
      </c>
      <c r="M262" s="45"/>
      <c r="N262" s="45" t="s">
        <v>20</v>
      </c>
      <c r="O262" s="84">
        <v>6.8477000386548123E-2</v>
      </c>
    </row>
    <row r="263" spans="1:15" x14ac:dyDescent="0.3">
      <c r="A263" s="41" t="s">
        <v>296</v>
      </c>
      <c r="B263" s="42" t="s">
        <v>22</v>
      </c>
      <c r="C263" s="43">
        <v>45626</v>
      </c>
      <c r="D263" s="42" t="s">
        <v>23</v>
      </c>
      <c r="E263" s="42" t="s">
        <v>18</v>
      </c>
      <c r="F263" s="113">
        <v>4963</v>
      </c>
      <c r="G263" s="113">
        <v>255</v>
      </c>
      <c r="H263" s="113">
        <v>193</v>
      </c>
      <c r="I263" s="113">
        <v>44386</v>
      </c>
      <c r="J263" s="113">
        <v>28415</v>
      </c>
      <c r="K263" s="113">
        <v>174</v>
      </c>
      <c r="L263" s="42" t="s">
        <v>337</v>
      </c>
      <c r="M263" s="42" t="s">
        <v>37</v>
      </c>
      <c r="N263" s="42" t="s">
        <v>16</v>
      </c>
      <c r="O263" s="83">
        <v>0.12190780876853062</v>
      </c>
    </row>
    <row r="264" spans="1:15" x14ac:dyDescent="0.3">
      <c r="A264" s="44" t="s">
        <v>297</v>
      </c>
      <c r="B264" s="45" t="s">
        <v>28</v>
      </c>
      <c r="C264" s="46">
        <v>45378</v>
      </c>
      <c r="D264" s="45" t="s">
        <v>14</v>
      </c>
      <c r="E264" s="45" t="s">
        <v>29</v>
      </c>
      <c r="F264" s="114">
        <v>2399</v>
      </c>
      <c r="G264" s="114">
        <v>191</v>
      </c>
      <c r="H264" s="114">
        <v>221</v>
      </c>
      <c r="I264" s="114">
        <v>51603</v>
      </c>
      <c r="J264" s="114">
        <v>40033</v>
      </c>
      <c r="K264" s="114">
        <v>173</v>
      </c>
      <c r="L264" s="45" t="s">
        <v>19</v>
      </c>
      <c r="M264" s="45" t="s">
        <v>338</v>
      </c>
      <c r="N264" s="45" t="s">
        <v>20</v>
      </c>
      <c r="O264" s="84">
        <v>5.4473577117609438E-2</v>
      </c>
    </row>
    <row r="265" spans="1:15" x14ac:dyDescent="0.3">
      <c r="A265" s="44" t="s">
        <v>298</v>
      </c>
      <c r="B265" s="45" t="s">
        <v>28</v>
      </c>
      <c r="C265" s="46">
        <v>45808</v>
      </c>
      <c r="D265" s="45" t="s">
        <v>52</v>
      </c>
      <c r="E265" s="45" t="s">
        <v>33</v>
      </c>
      <c r="F265" s="114">
        <v>2162</v>
      </c>
      <c r="G265" s="114">
        <v>318</v>
      </c>
      <c r="H265" s="114">
        <v>83</v>
      </c>
      <c r="I265" s="114">
        <v>46719</v>
      </c>
      <c r="J265" s="114">
        <v>20482</v>
      </c>
      <c r="K265" s="114">
        <v>185</v>
      </c>
      <c r="L265" s="45" t="s">
        <v>19</v>
      </c>
      <c r="M265" s="45" t="s">
        <v>40</v>
      </c>
      <c r="N265" s="45" t="s">
        <v>53</v>
      </c>
      <c r="O265" s="84">
        <v>5.4859907104176028E-2</v>
      </c>
    </row>
    <row r="266" spans="1:15" x14ac:dyDescent="0.3">
      <c r="A266" s="41" t="s">
        <v>299</v>
      </c>
      <c r="B266" s="42" t="s">
        <v>22</v>
      </c>
      <c r="C266" s="43">
        <v>45825</v>
      </c>
      <c r="D266" s="42" t="s">
        <v>23</v>
      </c>
      <c r="E266" s="42" t="s">
        <v>18</v>
      </c>
      <c r="F266" s="113">
        <v>4341</v>
      </c>
      <c r="G266" s="113">
        <v>141</v>
      </c>
      <c r="H266" s="113">
        <v>63</v>
      </c>
      <c r="I266" s="113">
        <v>50081</v>
      </c>
      <c r="J266" s="113">
        <v>27507</v>
      </c>
      <c r="K266" s="113">
        <v>221</v>
      </c>
      <c r="L266" s="42" t="s">
        <v>19</v>
      </c>
      <c r="M266" s="42" t="s">
        <v>337</v>
      </c>
      <c r="N266" s="42" t="s">
        <v>16</v>
      </c>
      <c r="O266" s="83">
        <v>9.0752980172121162E-2</v>
      </c>
    </row>
    <row r="267" spans="1:15" x14ac:dyDescent="0.3">
      <c r="A267" s="44" t="s">
        <v>300</v>
      </c>
      <c r="B267" s="45" t="s">
        <v>13</v>
      </c>
      <c r="C267" s="46">
        <v>45442</v>
      </c>
      <c r="D267" s="45" t="s">
        <v>23</v>
      </c>
      <c r="E267" s="45" t="s">
        <v>33</v>
      </c>
      <c r="F267" s="114">
        <v>2448</v>
      </c>
      <c r="G267" s="114">
        <v>464</v>
      </c>
      <c r="H267" s="114">
        <v>98</v>
      </c>
      <c r="I267" s="114">
        <v>25737</v>
      </c>
      <c r="J267" s="114">
        <v>48545</v>
      </c>
      <c r="K267" s="114">
        <v>246</v>
      </c>
      <c r="L267" s="45" t="s">
        <v>37</v>
      </c>
      <c r="M267" s="45"/>
      <c r="N267" s="45" t="s">
        <v>50</v>
      </c>
      <c r="O267" s="84">
        <v>0.11695224773672146</v>
      </c>
    </row>
    <row r="268" spans="1:15" x14ac:dyDescent="0.3">
      <c r="A268" s="41" t="s">
        <v>301</v>
      </c>
      <c r="B268" s="42" t="s">
        <v>28</v>
      </c>
      <c r="C268" s="43">
        <v>45604</v>
      </c>
      <c r="D268" s="42" t="s">
        <v>14</v>
      </c>
      <c r="E268" s="42" t="s">
        <v>36</v>
      </c>
      <c r="F268" s="113">
        <v>2471</v>
      </c>
      <c r="G268" s="113">
        <v>166</v>
      </c>
      <c r="H268" s="113">
        <v>320</v>
      </c>
      <c r="I268" s="113">
        <v>48254</v>
      </c>
      <c r="J268" s="113">
        <v>46900</v>
      </c>
      <c r="K268" s="113">
        <v>111</v>
      </c>
      <c r="L268" s="42" t="s">
        <v>19</v>
      </c>
      <c r="M268" s="42" t="s">
        <v>338</v>
      </c>
      <c r="N268" s="42" t="s">
        <v>20</v>
      </c>
      <c r="O268" s="83">
        <v>6.1279893894806647E-2</v>
      </c>
    </row>
    <row r="269" spans="1:15" x14ac:dyDescent="0.3">
      <c r="A269" s="41" t="s">
        <v>302</v>
      </c>
      <c r="B269" s="42" t="s">
        <v>28</v>
      </c>
      <c r="C269" s="43">
        <v>45368</v>
      </c>
      <c r="D269" s="42" t="s">
        <v>52</v>
      </c>
      <c r="E269" s="42" t="s">
        <v>18</v>
      </c>
      <c r="F269" s="113">
        <v>2692</v>
      </c>
      <c r="G269" s="113">
        <v>446</v>
      </c>
      <c r="H269" s="113">
        <v>216</v>
      </c>
      <c r="I269" s="113">
        <v>45818</v>
      </c>
      <c r="J269" s="113">
        <v>62723</v>
      </c>
      <c r="K269" s="113">
        <v>85</v>
      </c>
      <c r="L269" s="42" t="s">
        <v>19</v>
      </c>
      <c r="M269" s="42" t="s">
        <v>40</v>
      </c>
      <c r="N269" s="42" t="s">
        <v>53</v>
      </c>
      <c r="O269" s="83">
        <v>7.3202671439172376E-2</v>
      </c>
    </row>
    <row r="270" spans="1:15" x14ac:dyDescent="0.3">
      <c r="A270" s="41" t="s">
        <v>303</v>
      </c>
      <c r="B270" s="42" t="s">
        <v>28</v>
      </c>
      <c r="C270" s="43">
        <v>45464</v>
      </c>
      <c r="D270" s="42" t="s">
        <v>52</v>
      </c>
      <c r="E270" s="42" t="s">
        <v>29</v>
      </c>
      <c r="F270" s="113">
        <v>4621</v>
      </c>
      <c r="G270" s="113">
        <v>374</v>
      </c>
      <c r="H270" s="113">
        <v>298</v>
      </c>
      <c r="I270" s="113">
        <v>56979</v>
      </c>
      <c r="J270" s="113">
        <v>24098</v>
      </c>
      <c r="K270" s="113">
        <v>205</v>
      </c>
      <c r="L270" s="42" t="s">
        <v>19</v>
      </c>
      <c r="M270" s="42" t="s">
        <v>40</v>
      </c>
      <c r="N270" s="42" t="s">
        <v>53</v>
      </c>
      <c r="O270" s="83">
        <v>9.2893873181347508E-2</v>
      </c>
    </row>
    <row r="271" spans="1:15" x14ac:dyDescent="0.3">
      <c r="A271" s="41" t="s">
        <v>304</v>
      </c>
      <c r="B271" s="42" t="s">
        <v>22</v>
      </c>
      <c r="C271" s="43">
        <v>45609</v>
      </c>
      <c r="D271" s="42" t="s">
        <v>23</v>
      </c>
      <c r="E271" s="42" t="s">
        <v>24</v>
      </c>
      <c r="F271" s="113">
        <v>1409</v>
      </c>
      <c r="G271" s="113">
        <v>466</v>
      </c>
      <c r="H271" s="113">
        <v>105</v>
      </c>
      <c r="I271" s="113">
        <v>58923</v>
      </c>
      <c r="J271" s="113">
        <v>38753</v>
      </c>
      <c r="K271" s="113">
        <v>265</v>
      </c>
      <c r="L271" s="42" t="s">
        <v>19</v>
      </c>
      <c r="M271" s="42" t="s">
        <v>337</v>
      </c>
      <c r="N271" s="42" t="s">
        <v>16</v>
      </c>
      <c r="O271" s="83">
        <v>3.3603177027646251E-2</v>
      </c>
    </row>
    <row r="272" spans="1:15" x14ac:dyDescent="0.3">
      <c r="A272" s="41" t="s">
        <v>305</v>
      </c>
      <c r="B272" s="42" t="s">
        <v>22</v>
      </c>
      <c r="C272" s="43">
        <v>45693</v>
      </c>
      <c r="D272" s="42" t="s">
        <v>23</v>
      </c>
      <c r="E272" s="42" t="s">
        <v>15</v>
      </c>
      <c r="F272" s="113">
        <v>3029</v>
      </c>
      <c r="G272" s="113">
        <v>440</v>
      </c>
      <c r="H272" s="113">
        <v>66</v>
      </c>
      <c r="I272" s="113">
        <v>23815</v>
      </c>
      <c r="J272" s="113">
        <v>47895</v>
      </c>
      <c r="K272" s="113">
        <v>210</v>
      </c>
      <c r="L272" s="42" t="s">
        <v>19</v>
      </c>
      <c r="M272" s="42" t="s">
        <v>337</v>
      </c>
      <c r="N272" s="42" t="s">
        <v>16</v>
      </c>
      <c r="O272" s="83">
        <v>0.14843585975225698</v>
      </c>
    </row>
    <row r="273" spans="1:15" x14ac:dyDescent="0.3">
      <c r="A273" s="41" t="s">
        <v>306</v>
      </c>
      <c r="B273" s="42" t="s">
        <v>22</v>
      </c>
      <c r="C273" s="43">
        <v>45603</v>
      </c>
      <c r="D273" s="42" t="s">
        <v>14</v>
      </c>
      <c r="E273" s="42" t="s">
        <v>18</v>
      </c>
      <c r="F273" s="113">
        <v>2229</v>
      </c>
      <c r="G273" s="113">
        <v>395</v>
      </c>
      <c r="H273" s="113">
        <v>328</v>
      </c>
      <c r="I273" s="113">
        <v>56921</v>
      </c>
      <c r="J273" s="113">
        <v>37176</v>
      </c>
      <c r="K273" s="113">
        <v>126</v>
      </c>
      <c r="L273" s="42" t="s">
        <v>40</v>
      </c>
      <c r="M273" s="42"/>
      <c r="N273" s="42" t="s">
        <v>20</v>
      </c>
      <c r="O273" s="83">
        <v>5.1861351697967357E-2</v>
      </c>
    </row>
    <row r="274" spans="1:15" x14ac:dyDescent="0.3">
      <c r="A274" s="44" t="s">
        <v>307</v>
      </c>
      <c r="B274" s="45" t="s">
        <v>22</v>
      </c>
      <c r="C274" s="46">
        <v>45334</v>
      </c>
      <c r="D274" s="45" t="s">
        <v>14</v>
      </c>
      <c r="E274" s="45" t="s">
        <v>18</v>
      </c>
      <c r="F274" s="114">
        <v>2691</v>
      </c>
      <c r="G274" s="114">
        <v>486</v>
      </c>
      <c r="H274" s="114">
        <v>206</v>
      </c>
      <c r="I274" s="114">
        <v>51133</v>
      </c>
      <c r="J274" s="114">
        <v>44583</v>
      </c>
      <c r="K274" s="114">
        <v>276</v>
      </c>
      <c r="L274" s="45" t="s">
        <v>37</v>
      </c>
      <c r="M274" s="45"/>
      <c r="N274" s="45" t="s">
        <v>16</v>
      </c>
      <c r="O274" s="84">
        <v>6.6160796354604659E-2</v>
      </c>
    </row>
    <row r="275" spans="1:15" x14ac:dyDescent="0.3">
      <c r="A275" s="41" t="s">
        <v>308</v>
      </c>
      <c r="B275" s="42" t="s">
        <v>13</v>
      </c>
      <c r="C275" s="43">
        <v>45573</v>
      </c>
      <c r="D275" s="42" t="s">
        <v>14</v>
      </c>
      <c r="E275" s="42" t="s">
        <v>18</v>
      </c>
      <c r="F275" s="113">
        <v>2110</v>
      </c>
      <c r="G275" s="113">
        <v>384</v>
      </c>
      <c r="H275" s="113">
        <v>236</v>
      </c>
      <c r="I275" s="113">
        <v>49965</v>
      </c>
      <c r="J275" s="113">
        <v>61555</v>
      </c>
      <c r="K275" s="113">
        <v>195</v>
      </c>
      <c r="L275" s="42" t="s">
        <v>19</v>
      </c>
      <c r="M275" s="42"/>
      <c r="N275" s="42" t="s">
        <v>20</v>
      </c>
      <c r="O275" s="83">
        <v>5.4638246772740921E-2</v>
      </c>
    </row>
    <row r="276" spans="1:15" x14ac:dyDescent="0.3">
      <c r="A276" s="41" t="s">
        <v>309</v>
      </c>
      <c r="B276" s="42" t="s">
        <v>13</v>
      </c>
      <c r="C276" s="43">
        <v>45341</v>
      </c>
      <c r="D276" s="42" t="s">
        <v>14</v>
      </c>
      <c r="E276" s="42" t="s">
        <v>26</v>
      </c>
      <c r="F276" s="113">
        <v>4752</v>
      </c>
      <c r="G276" s="113">
        <v>449</v>
      </c>
      <c r="H276" s="113">
        <v>309</v>
      </c>
      <c r="I276" s="113">
        <v>58530</v>
      </c>
      <c r="J276" s="113">
        <v>26630</v>
      </c>
      <c r="K276" s="113">
        <v>234</v>
      </c>
      <c r="L276" s="42" t="s">
        <v>19</v>
      </c>
      <c r="M276" s="42"/>
      <c r="N276" s="42" t="s">
        <v>20</v>
      </c>
      <c r="O276" s="83">
        <v>9.4139757389372969E-2</v>
      </c>
    </row>
    <row r="277" spans="1:15" x14ac:dyDescent="0.3">
      <c r="A277" s="41" t="s">
        <v>310</v>
      </c>
      <c r="B277" s="42" t="s">
        <v>22</v>
      </c>
      <c r="C277" s="43">
        <v>45720</v>
      </c>
      <c r="D277" s="42" t="s">
        <v>14</v>
      </c>
      <c r="E277" s="42" t="s">
        <v>15</v>
      </c>
      <c r="F277" s="113">
        <v>2177</v>
      </c>
      <c r="G277" s="113">
        <v>258</v>
      </c>
      <c r="H277" s="113">
        <v>292</v>
      </c>
      <c r="I277" s="113">
        <v>47276</v>
      </c>
      <c r="J277" s="113">
        <v>51324</v>
      </c>
      <c r="K277" s="113">
        <v>143</v>
      </c>
      <c r="L277" s="42" t="s">
        <v>37</v>
      </c>
      <c r="M277" s="42"/>
      <c r="N277" s="42" t="s">
        <v>16</v>
      </c>
      <c r="O277" s="83">
        <v>5.7682545054573146E-2</v>
      </c>
    </row>
    <row r="278" spans="1:15" x14ac:dyDescent="0.3">
      <c r="A278" s="41" t="s">
        <v>311</v>
      </c>
      <c r="B278" s="42" t="s">
        <v>13</v>
      </c>
      <c r="C278" s="43">
        <v>45691</v>
      </c>
      <c r="D278" s="42" t="s">
        <v>23</v>
      </c>
      <c r="E278" s="42" t="s">
        <v>24</v>
      </c>
      <c r="F278" s="113">
        <v>1205</v>
      </c>
      <c r="G278" s="113">
        <v>486</v>
      </c>
      <c r="H278" s="113">
        <v>269</v>
      </c>
      <c r="I278" s="113">
        <v>23341</v>
      </c>
      <c r="J278" s="113">
        <v>42411</v>
      </c>
      <c r="K278" s="113">
        <v>184</v>
      </c>
      <c r="L278" s="42" t="s">
        <v>37</v>
      </c>
      <c r="M278" s="42"/>
      <c r="N278" s="42" t="s">
        <v>50</v>
      </c>
      <c r="O278" s="83">
        <v>8.3972409065592737E-2</v>
      </c>
    </row>
    <row r="279" spans="1:15" x14ac:dyDescent="0.3">
      <c r="A279" s="41" t="s">
        <v>312</v>
      </c>
      <c r="B279" s="42" t="s">
        <v>13</v>
      </c>
      <c r="C279" s="43">
        <v>45628</v>
      </c>
      <c r="D279" s="42" t="s">
        <v>14</v>
      </c>
      <c r="E279" s="42" t="s">
        <v>36</v>
      </c>
      <c r="F279" s="113">
        <v>3194</v>
      </c>
      <c r="G279" s="113">
        <v>292</v>
      </c>
      <c r="H279" s="113">
        <v>245</v>
      </c>
      <c r="I279" s="113">
        <v>56371</v>
      </c>
      <c r="J279" s="113">
        <v>65597</v>
      </c>
      <c r="K279" s="113">
        <v>163</v>
      </c>
      <c r="L279" s="42" t="s">
        <v>40</v>
      </c>
      <c r="M279" s="42" t="s">
        <v>37</v>
      </c>
      <c r="N279" s="42" t="s">
        <v>16</v>
      </c>
      <c r="O279" s="83">
        <v>6.6186514342481059E-2</v>
      </c>
    </row>
    <row r="280" spans="1:15" x14ac:dyDescent="0.3">
      <c r="A280" s="44" t="s">
        <v>313</v>
      </c>
      <c r="B280" s="45" t="s">
        <v>22</v>
      </c>
      <c r="C280" s="46">
        <v>45676</v>
      </c>
      <c r="D280" s="45" t="s">
        <v>23</v>
      </c>
      <c r="E280" s="45" t="s">
        <v>24</v>
      </c>
      <c r="F280" s="114">
        <v>3507</v>
      </c>
      <c r="G280" s="114">
        <v>295</v>
      </c>
      <c r="H280" s="114">
        <v>371</v>
      </c>
      <c r="I280" s="114">
        <v>20410</v>
      </c>
      <c r="J280" s="114">
        <v>53965</v>
      </c>
      <c r="K280" s="114">
        <v>212</v>
      </c>
      <c r="L280" s="45" t="s">
        <v>40</v>
      </c>
      <c r="M280" s="45" t="s">
        <v>37</v>
      </c>
      <c r="N280" s="45" t="s">
        <v>16</v>
      </c>
      <c r="O280" s="84">
        <v>0.20445859872611466</v>
      </c>
    </row>
    <row r="281" spans="1:15" x14ac:dyDescent="0.3">
      <c r="A281" s="41" t="s">
        <v>314</v>
      </c>
      <c r="B281" s="42" t="s">
        <v>22</v>
      </c>
      <c r="C281" s="43">
        <v>45563</v>
      </c>
      <c r="D281" s="42" t="s">
        <v>23</v>
      </c>
      <c r="E281" s="42" t="s">
        <v>26</v>
      </c>
      <c r="F281" s="113">
        <v>4471</v>
      </c>
      <c r="G281" s="113">
        <v>317</v>
      </c>
      <c r="H281" s="113">
        <v>249</v>
      </c>
      <c r="I281" s="113">
        <v>44862</v>
      </c>
      <c r="J281" s="113">
        <v>33365</v>
      </c>
      <c r="K281" s="113">
        <v>184</v>
      </c>
      <c r="L281" s="42" t="s">
        <v>19</v>
      </c>
      <c r="M281" s="42" t="s">
        <v>337</v>
      </c>
      <c r="N281" s="42" t="s">
        <v>16</v>
      </c>
      <c r="O281" s="83">
        <v>0.1122776514644911</v>
      </c>
    </row>
    <row r="282" spans="1:15" x14ac:dyDescent="0.3">
      <c r="A282" s="44" t="s">
        <v>315</v>
      </c>
      <c r="B282" s="45" t="s">
        <v>13</v>
      </c>
      <c r="C282" s="46">
        <v>45298</v>
      </c>
      <c r="D282" s="45" t="s">
        <v>14</v>
      </c>
      <c r="E282" s="45" t="s">
        <v>36</v>
      </c>
      <c r="F282" s="114">
        <v>4931</v>
      </c>
      <c r="G282" s="114">
        <v>469</v>
      </c>
      <c r="H282" s="114">
        <v>193</v>
      </c>
      <c r="I282" s="114">
        <v>56701</v>
      </c>
      <c r="J282" s="114">
        <v>69437</v>
      </c>
      <c r="K282" s="114">
        <v>291</v>
      </c>
      <c r="L282" s="45" t="s">
        <v>40</v>
      </c>
      <c r="M282" s="45" t="s">
        <v>37</v>
      </c>
      <c r="N282" s="45" t="s">
        <v>16</v>
      </c>
      <c r="O282" s="84">
        <v>9.8640235621946709E-2</v>
      </c>
    </row>
    <row r="283" spans="1:15" x14ac:dyDescent="0.3">
      <c r="A283" s="41" t="s">
        <v>316</v>
      </c>
      <c r="B283" s="42" t="s">
        <v>22</v>
      </c>
      <c r="C283" s="43">
        <v>45343</v>
      </c>
      <c r="D283" s="42" t="s">
        <v>23</v>
      </c>
      <c r="E283" s="42" t="s">
        <v>33</v>
      </c>
      <c r="F283" s="113">
        <v>2604</v>
      </c>
      <c r="G283" s="113">
        <v>439</v>
      </c>
      <c r="H283" s="113">
        <v>148</v>
      </c>
      <c r="I283" s="113">
        <v>58468</v>
      </c>
      <c r="J283" s="113">
        <v>39629</v>
      </c>
      <c r="K283" s="113">
        <v>163</v>
      </c>
      <c r="L283" s="42" t="s">
        <v>337</v>
      </c>
      <c r="M283" s="42" t="s">
        <v>37</v>
      </c>
      <c r="N283" s="42" t="s">
        <v>16</v>
      </c>
      <c r="O283" s="83">
        <v>5.4576862557296296E-2</v>
      </c>
    </row>
    <row r="284" spans="1:15" x14ac:dyDescent="0.3">
      <c r="A284" s="41" t="s">
        <v>317</v>
      </c>
      <c r="B284" s="42" t="s">
        <v>13</v>
      </c>
      <c r="C284" s="43">
        <v>45531</v>
      </c>
      <c r="D284" s="42" t="s">
        <v>14</v>
      </c>
      <c r="E284" s="42" t="s">
        <v>29</v>
      </c>
      <c r="F284" s="113">
        <v>4197</v>
      </c>
      <c r="G284" s="113">
        <v>359</v>
      </c>
      <c r="H284" s="113">
        <v>280</v>
      </c>
      <c r="I284" s="113">
        <v>56048</v>
      </c>
      <c r="J284" s="113">
        <v>70930</v>
      </c>
      <c r="K284" s="113">
        <v>295</v>
      </c>
      <c r="L284" s="42" t="s">
        <v>19</v>
      </c>
      <c r="M284" s="42"/>
      <c r="N284" s="42" t="s">
        <v>20</v>
      </c>
      <c r="O284" s="83">
        <v>8.628318584070796E-2</v>
      </c>
    </row>
    <row r="285" spans="1:15" x14ac:dyDescent="0.3">
      <c r="A285" s="44" t="s">
        <v>318</v>
      </c>
      <c r="B285" s="45" t="s">
        <v>13</v>
      </c>
      <c r="C285" s="46">
        <v>45589</v>
      </c>
      <c r="D285" s="45" t="s">
        <v>23</v>
      </c>
      <c r="E285" s="45" t="s">
        <v>36</v>
      </c>
      <c r="F285" s="114">
        <v>1914</v>
      </c>
      <c r="G285" s="114">
        <v>255</v>
      </c>
      <c r="H285" s="114">
        <v>156</v>
      </c>
      <c r="I285" s="114">
        <v>27660</v>
      </c>
      <c r="J285" s="114">
        <v>47776</v>
      </c>
      <c r="K285" s="114">
        <v>111</v>
      </c>
      <c r="L285" s="45" t="s">
        <v>37</v>
      </c>
      <c r="M285" s="45"/>
      <c r="N285" s="45" t="s">
        <v>50</v>
      </c>
      <c r="O285" s="84">
        <v>8.4056399132321047E-2</v>
      </c>
    </row>
    <row r="286" spans="1:15" x14ac:dyDescent="0.3">
      <c r="A286" s="44" t="s">
        <v>319</v>
      </c>
      <c r="B286" s="45" t="s">
        <v>28</v>
      </c>
      <c r="C286" s="46">
        <v>45686</v>
      </c>
      <c r="D286" s="45" t="s">
        <v>14</v>
      </c>
      <c r="E286" s="45" t="s">
        <v>24</v>
      </c>
      <c r="F286" s="114">
        <v>1334</v>
      </c>
      <c r="G286" s="114">
        <v>357</v>
      </c>
      <c r="H286" s="114">
        <v>257</v>
      </c>
      <c r="I286" s="114">
        <v>56910</v>
      </c>
      <c r="J286" s="114">
        <v>70606</v>
      </c>
      <c r="K286" s="114">
        <v>228</v>
      </c>
      <c r="L286" s="45" t="s">
        <v>19</v>
      </c>
      <c r="M286" s="45" t="s">
        <v>338</v>
      </c>
      <c r="N286" s="45" t="s">
        <v>20</v>
      </c>
      <c r="O286" s="84">
        <v>3.4229485151994379E-2</v>
      </c>
    </row>
    <row r="287" spans="1:15" x14ac:dyDescent="0.3">
      <c r="A287" s="44" t="s">
        <v>320</v>
      </c>
      <c r="B287" s="45" t="s">
        <v>13</v>
      </c>
      <c r="C287" s="46">
        <v>45413</v>
      </c>
      <c r="D287" s="45" t="s">
        <v>14</v>
      </c>
      <c r="E287" s="45" t="s">
        <v>33</v>
      </c>
      <c r="F287" s="114">
        <v>3359</v>
      </c>
      <c r="G287" s="114">
        <v>137</v>
      </c>
      <c r="H287" s="114">
        <v>387</v>
      </c>
      <c r="I287" s="114">
        <v>33861</v>
      </c>
      <c r="J287" s="114">
        <v>47257</v>
      </c>
      <c r="K287" s="114">
        <v>198</v>
      </c>
      <c r="L287" s="45" t="s">
        <v>19</v>
      </c>
      <c r="M287" s="45"/>
      <c r="N287" s="45" t="s">
        <v>20</v>
      </c>
      <c r="O287" s="84">
        <v>0.11467469950680724</v>
      </c>
    </row>
    <row r="288" spans="1:15" x14ac:dyDescent="0.3">
      <c r="A288" s="44" t="s">
        <v>321</v>
      </c>
      <c r="B288" s="45" t="s">
        <v>28</v>
      </c>
      <c r="C288" s="46">
        <v>45468</v>
      </c>
      <c r="D288" s="45" t="s">
        <v>14</v>
      </c>
      <c r="E288" s="45" t="s">
        <v>46</v>
      </c>
      <c r="F288" s="114">
        <v>2172</v>
      </c>
      <c r="G288" s="114">
        <v>338</v>
      </c>
      <c r="H288" s="114">
        <v>70</v>
      </c>
      <c r="I288" s="114">
        <v>30515</v>
      </c>
      <c r="J288" s="114">
        <v>57853</v>
      </c>
      <c r="K288" s="114">
        <v>156</v>
      </c>
      <c r="L288" s="45" t="s">
        <v>19</v>
      </c>
      <c r="M288" s="45" t="s">
        <v>338</v>
      </c>
      <c r="N288" s="45" t="s">
        <v>20</v>
      </c>
      <c r="O288" s="84">
        <v>8.4548582664263475E-2</v>
      </c>
    </row>
    <row r="289" spans="1:15" x14ac:dyDescent="0.3">
      <c r="A289" s="44" t="s">
        <v>322</v>
      </c>
      <c r="B289" s="45" t="s">
        <v>22</v>
      </c>
      <c r="C289" s="46">
        <v>45513</v>
      </c>
      <c r="D289" s="45" t="s">
        <v>23</v>
      </c>
      <c r="E289" s="45" t="s">
        <v>44</v>
      </c>
      <c r="F289" s="114">
        <v>4877</v>
      </c>
      <c r="G289" s="114">
        <v>442</v>
      </c>
      <c r="H289" s="114">
        <v>236</v>
      </c>
      <c r="I289" s="114">
        <v>52673</v>
      </c>
      <c r="J289" s="114">
        <v>48241</v>
      </c>
      <c r="K289" s="114">
        <v>114</v>
      </c>
      <c r="L289" s="45" t="s">
        <v>19</v>
      </c>
      <c r="M289" s="45" t="s">
        <v>337</v>
      </c>
      <c r="N289" s="45" t="s">
        <v>16</v>
      </c>
      <c r="O289" s="84">
        <v>0.10546200140489435</v>
      </c>
    </row>
    <row r="290" spans="1:15" x14ac:dyDescent="0.3">
      <c r="A290" s="44" t="s">
        <v>323</v>
      </c>
      <c r="B290" s="45" t="s">
        <v>13</v>
      </c>
      <c r="C290" s="46">
        <v>45678</v>
      </c>
      <c r="D290" s="45" t="s">
        <v>23</v>
      </c>
      <c r="E290" s="45" t="s">
        <v>24</v>
      </c>
      <c r="F290" s="114">
        <v>4918</v>
      </c>
      <c r="G290" s="114">
        <v>440</v>
      </c>
      <c r="H290" s="114">
        <v>149</v>
      </c>
      <c r="I290" s="114">
        <v>53269</v>
      </c>
      <c r="J290" s="114">
        <v>64370</v>
      </c>
      <c r="K290" s="114">
        <v>269</v>
      </c>
      <c r="L290" s="45" t="s">
        <v>37</v>
      </c>
      <c r="M290" s="45"/>
      <c r="N290" s="45" t="s">
        <v>50</v>
      </c>
      <c r="O290" s="84">
        <v>0.10338095327488783</v>
      </c>
    </row>
    <row r="291" spans="1:15" x14ac:dyDescent="0.3">
      <c r="A291" s="41" t="s">
        <v>324</v>
      </c>
      <c r="B291" s="42" t="s">
        <v>22</v>
      </c>
      <c r="C291" s="43">
        <v>45517</v>
      </c>
      <c r="D291" s="42" t="s">
        <v>14</v>
      </c>
      <c r="E291" s="42" t="s">
        <v>18</v>
      </c>
      <c r="F291" s="113">
        <v>3418</v>
      </c>
      <c r="G291" s="113">
        <v>107</v>
      </c>
      <c r="H291" s="113">
        <v>221</v>
      </c>
      <c r="I291" s="113">
        <v>23927</v>
      </c>
      <c r="J291" s="113">
        <v>26182</v>
      </c>
      <c r="K291" s="113">
        <v>155</v>
      </c>
      <c r="L291" s="42" t="s">
        <v>40</v>
      </c>
      <c r="M291" s="42"/>
      <c r="N291" s="42" t="s">
        <v>20</v>
      </c>
      <c r="O291" s="83">
        <v>0.1565595352530614</v>
      </c>
    </row>
    <row r="292" spans="1:15" x14ac:dyDescent="0.3">
      <c r="A292" s="41" t="s">
        <v>325</v>
      </c>
      <c r="B292" s="42" t="s">
        <v>13</v>
      </c>
      <c r="C292" s="43">
        <v>45472</v>
      </c>
      <c r="D292" s="42" t="s">
        <v>14</v>
      </c>
      <c r="E292" s="42" t="s">
        <v>46</v>
      </c>
      <c r="F292" s="113">
        <v>2088</v>
      </c>
      <c r="G292" s="113">
        <v>490</v>
      </c>
      <c r="H292" s="113">
        <v>124</v>
      </c>
      <c r="I292" s="113">
        <v>46544</v>
      </c>
      <c r="J292" s="113">
        <v>69346</v>
      </c>
      <c r="K292" s="113">
        <v>178</v>
      </c>
      <c r="L292" s="42" t="s">
        <v>40</v>
      </c>
      <c r="M292" s="42" t="s">
        <v>37</v>
      </c>
      <c r="N292" s="42" t="s">
        <v>16</v>
      </c>
      <c r="O292" s="83">
        <v>5.8052595393606049E-2</v>
      </c>
    </row>
    <row r="293" spans="1:15" x14ac:dyDescent="0.3">
      <c r="A293" s="41" t="s">
        <v>326</v>
      </c>
      <c r="B293" s="42" t="s">
        <v>22</v>
      </c>
      <c r="C293" s="43">
        <v>45599</v>
      </c>
      <c r="D293" s="42" t="s">
        <v>23</v>
      </c>
      <c r="E293" s="42" t="s">
        <v>18</v>
      </c>
      <c r="F293" s="113">
        <v>3061</v>
      </c>
      <c r="G293" s="113">
        <v>320</v>
      </c>
      <c r="H293" s="113">
        <v>76</v>
      </c>
      <c r="I293" s="113">
        <v>26640</v>
      </c>
      <c r="J293" s="113">
        <v>24306</v>
      </c>
      <c r="K293" s="113">
        <v>112</v>
      </c>
      <c r="L293" s="42" t="s">
        <v>337</v>
      </c>
      <c r="M293" s="42" t="s">
        <v>37</v>
      </c>
      <c r="N293" s="42" t="s">
        <v>16</v>
      </c>
      <c r="O293" s="83">
        <v>0.12976726726726726</v>
      </c>
    </row>
    <row r="294" spans="1:15" x14ac:dyDescent="0.3">
      <c r="A294" s="44" t="s">
        <v>327</v>
      </c>
      <c r="B294" s="45" t="s">
        <v>28</v>
      </c>
      <c r="C294" s="46">
        <v>45765</v>
      </c>
      <c r="D294" s="45" t="s">
        <v>52</v>
      </c>
      <c r="E294" s="45" t="s">
        <v>46</v>
      </c>
      <c r="F294" s="114">
        <v>1265</v>
      </c>
      <c r="G294" s="114">
        <v>230</v>
      </c>
      <c r="H294" s="114">
        <v>364</v>
      </c>
      <c r="I294" s="114">
        <v>41312</v>
      </c>
      <c r="J294" s="114">
        <v>50382</v>
      </c>
      <c r="K294" s="114">
        <v>106</v>
      </c>
      <c r="L294" s="45" t="s">
        <v>19</v>
      </c>
      <c r="M294" s="45" t="s">
        <v>40</v>
      </c>
      <c r="N294" s="45" t="s">
        <v>53</v>
      </c>
      <c r="O294" s="84">
        <v>4.4999031758326875E-2</v>
      </c>
    </row>
    <row r="295" spans="1:15" x14ac:dyDescent="0.3">
      <c r="A295" s="44" t="s">
        <v>328</v>
      </c>
      <c r="B295" s="45" t="s">
        <v>13</v>
      </c>
      <c r="C295" s="46">
        <v>45653</v>
      </c>
      <c r="D295" s="45" t="s">
        <v>14</v>
      </c>
      <c r="E295" s="45" t="s">
        <v>44</v>
      </c>
      <c r="F295" s="114">
        <v>1436</v>
      </c>
      <c r="G295" s="114">
        <v>219</v>
      </c>
      <c r="H295" s="114">
        <v>229</v>
      </c>
      <c r="I295" s="114">
        <v>58488</v>
      </c>
      <c r="J295" s="114">
        <v>24314</v>
      </c>
      <c r="K295" s="114">
        <v>147</v>
      </c>
      <c r="L295" s="45" t="s">
        <v>19</v>
      </c>
      <c r="M295" s="45"/>
      <c r="N295" s="45" t="s">
        <v>20</v>
      </c>
      <c r="O295" s="84">
        <v>3.221173574066475E-2</v>
      </c>
    </row>
    <row r="296" spans="1:15" x14ac:dyDescent="0.3">
      <c r="A296" s="44" t="s">
        <v>329</v>
      </c>
      <c r="B296" s="45" t="s">
        <v>13</v>
      </c>
      <c r="C296" s="46">
        <v>45724</v>
      </c>
      <c r="D296" s="45" t="s">
        <v>23</v>
      </c>
      <c r="E296" s="45" t="s">
        <v>36</v>
      </c>
      <c r="F296" s="114">
        <v>2244</v>
      </c>
      <c r="G296" s="114">
        <v>392</v>
      </c>
      <c r="H296" s="114">
        <v>231</v>
      </c>
      <c r="I296" s="114">
        <v>25834</v>
      </c>
      <c r="J296" s="114">
        <v>50906</v>
      </c>
      <c r="K296" s="114">
        <v>165</v>
      </c>
      <c r="L296" s="45" t="s">
        <v>37</v>
      </c>
      <c r="M296" s="45"/>
      <c r="N296" s="45" t="s">
        <v>50</v>
      </c>
      <c r="O296" s="84">
        <v>0.1109777812185492</v>
      </c>
    </row>
    <row r="297" spans="1:15" x14ac:dyDescent="0.3">
      <c r="A297" s="41" t="s">
        <v>330</v>
      </c>
      <c r="B297" s="42" t="s">
        <v>22</v>
      </c>
      <c r="C297" s="43">
        <v>45736</v>
      </c>
      <c r="D297" s="42" t="s">
        <v>23</v>
      </c>
      <c r="E297" s="42" t="s">
        <v>46</v>
      </c>
      <c r="F297" s="113">
        <v>3393</v>
      </c>
      <c r="G297" s="113">
        <v>104</v>
      </c>
      <c r="H297" s="113">
        <v>79</v>
      </c>
      <c r="I297" s="113">
        <v>30025</v>
      </c>
      <c r="J297" s="113">
        <v>21593</v>
      </c>
      <c r="K297" s="113">
        <v>165</v>
      </c>
      <c r="L297" s="42" t="s">
        <v>337</v>
      </c>
      <c r="M297" s="42" t="s">
        <v>37</v>
      </c>
      <c r="N297" s="42" t="s">
        <v>16</v>
      </c>
      <c r="O297" s="83">
        <v>0.1191007493755204</v>
      </c>
    </row>
    <row r="298" spans="1:15" x14ac:dyDescent="0.3">
      <c r="A298" s="44" t="s">
        <v>331</v>
      </c>
      <c r="B298" s="45" t="s">
        <v>22</v>
      </c>
      <c r="C298" s="46">
        <v>45612</v>
      </c>
      <c r="D298" s="45" t="s">
        <v>14</v>
      </c>
      <c r="E298" s="45" t="s">
        <v>18</v>
      </c>
      <c r="F298" s="114">
        <v>2901</v>
      </c>
      <c r="G298" s="114">
        <v>108</v>
      </c>
      <c r="H298" s="114">
        <v>86</v>
      </c>
      <c r="I298" s="114">
        <v>51777</v>
      </c>
      <c r="J298" s="114">
        <v>23773</v>
      </c>
      <c r="K298" s="114">
        <v>160</v>
      </c>
      <c r="L298" s="45" t="s">
        <v>40</v>
      </c>
      <c r="M298" s="45"/>
      <c r="N298" s="45" t="s">
        <v>20</v>
      </c>
      <c r="O298" s="84">
        <v>5.9775576027966085E-2</v>
      </c>
    </row>
    <row r="299" spans="1:15" x14ac:dyDescent="0.3">
      <c r="A299" s="41" t="s">
        <v>332</v>
      </c>
      <c r="B299" s="42" t="s">
        <v>22</v>
      </c>
      <c r="C299" s="43">
        <v>45838</v>
      </c>
      <c r="D299" s="42" t="s">
        <v>14</v>
      </c>
      <c r="E299" s="42" t="s">
        <v>31</v>
      </c>
      <c r="F299" s="113">
        <v>2275</v>
      </c>
      <c r="G299" s="113">
        <v>285</v>
      </c>
      <c r="H299" s="113">
        <v>125</v>
      </c>
      <c r="I299" s="113">
        <v>43970</v>
      </c>
      <c r="J299" s="113">
        <v>74761</v>
      </c>
      <c r="K299" s="113">
        <v>83</v>
      </c>
      <c r="L299" s="42" t="s">
        <v>37</v>
      </c>
      <c r="M299" s="42"/>
      <c r="N299" s="42" t="s">
        <v>16</v>
      </c>
      <c r="O299" s="83">
        <v>6.1064362065044349E-2</v>
      </c>
    </row>
    <row r="300" spans="1:15" x14ac:dyDescent="0.3">
      <c r="A300" s="41" t="s">
        <v>333</v>
      </c>
      <c r="B300" s="42" t="s">
        <v>22</v>
      </c>
      <c r="C300" s="43">
        <v>45303</v>
      </c>
      <c r="D300" s="42" t="s">
        <v>23</v>
      </c>
      <c r="E300" s="42" t="s">
        <v>26</v>
      </c>
      <c r="F300" s="113">
        <v>2227</v>
      </c>
      <c r="G300" s="113">
        <v>494</v>
      </c>
      <c r="H300" s="113">
        <v>161</v>
      </c>
      <c r="I300" s="113">
        <v>51651</v>
      </c>
      <c r="J300" s="113">
        <v>68074</v>
      </c>
      <c r="K300" s="113">
        <v>240</v>
      </c>
      <c r="L300" s="42" t="s">
        <v>19</v>
      </c>
      <c r="M300" s="42" t="s">
        <v>337</v>
      </c>
      <c r="N300" s="42" t="s">
        <v>16</v>
      </c>
      <c r="O300" s="83">
        <v>5.5797564422760453E-2</v>
      </c>
    </row>
    <row r="301" spans="1:15" x14ac:dyDescent="0.3">
      <c r="A301" s="50" t="s">
        <v>334</v>
      </c>
      <c r="B301" s="51" t="s">
        <v>13</v>
      </c>
      <c r="C301" s="52">
        <v>45329</v>
      </c>
      <c r="D301" s="51" t="s">
        <v>14</v>
      </c>
      <c r="E301" s="51" t="s">
        <v>29</v>
      </c>
      <c r="F301" s="115">
        <v>1883</v>
      </c>
      <c r="G301" s="115">
        <v>432</v>
      </c>
      <c r="H301" s="115">
        <v>397</v>
      </c>
      <c r="I301" s="115">
        <v>28759</v>
      </c>
      <c r="J301" s="115">
        <v>18691</v>
      </c>
      <c r="K301" s="115">
        <v>270</v>
      </c>
      <c r="L301" s="51" t="s">
        <v>40</v>
      </c>
      <c r="M301" s="51" t="s">
        <v>37</v>
      </c>
      <c r="N301" s="51" t="s">
        <v>16</v>
      </c>
      <c r="O301" s="85">
        <v>9.4300914496331587E-2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B1548-FD88-438B-9269-9CC71C1B5E07}">
  <sheetPr codeName="Sheet6"/>
  <dimension ref="A1:E108"/>
  <sheetViews>
    <sheetView topLeftCell="A128" zoomScale="90" workbookViewId="0">
      <selection activeCell="C105" sqref="C105"/>
    </sheetView>
  </sheetViews>
  <sheetFormatPr defaultRowHeight="14.4" x14ac:dyDescent="0.3"/>
  <cols>
    <col min="1" max="1" width="23.6640625" bestFit="1" customWidth="1"/>
    <col min="2" max="3" width="26.6640625" bestFit="1" customWidth="1"/>
    <col min="4" max="4" width="10.44140625" bestFit="1" customWidth="1"/>
    <col min="5" max="5" width="10.5546875" bestFit="1" customWidth="1"/>
    <col min="6" max="8" width="10.44140625" bestFit="1" customWidth="1"/>
    <col min="9" max="9" width="10.5546875" bestFit="1" customWidth="1"/>
    <col min="10" max="10" width="9.33203125" bestFit="1" customWidth="1"/>
    <col min="11" max="11" width="10.5546875" bestFit="1" customWidth="1"/>
    <col min="12" max="12" width="6.77734375" bestFit="1" customWidth="1"/>
    <col min="13" max="13" width="10.5546875" bestFit="1" customWidth="1"/>
    <col min="14" max="14" width="9.33203125" bestFit="1" customWidth="1"/>
    <col min="15" max="15" width="10.5546875" bestFit="1" customWidth="1"/>
    <col min="16" max="16" width="8" bestFit="1" customWidth="1"/>
    <col min="17" max="17" width="10.5546875" bestFit="1" customWidth="1"/>
    <col min="18" max="18" width="8" bestFit="1" customWidth="1"/>
    <col min="19" max="19" width="10.5546875" bestFit="1" customWidth="1"/>
    <col min="20" max="20" width="9.33203125" bestFit="1" customWidth="1"/>
    <col min="21" max="21" width="10.5546875" bestFit="1" customWidth="1"/>
    <col min="22" max="22" width="9.33203125" bestFit="1" customWidth="1"/>
    <col min="23" max="23" width="10.5546875" bestFit="1" customWidth="1"/>
    <col min="24" max="24" width="9.33203125" bestFit="1" customWidth="1"/>
    <col min="25" max="25" width="10.5546875" bestFit="1" customWidth="1"/>
    <col min="26" max="26" width="6.77734375" bestFit="1" customWidth="1"/>
    <col min="27" max="27" width="10.5546875" bestFit="1" customWidth="1"/>
    <col min="28" max="28" width="8" bestFit="1" customWidth="1"/>
    <col min="29" max="29" width="10.5546875" bestFit="1" customWidth="1"/>
    <col min="30" max="30" width="9.33203125" bestFit="1" customWidth="1"/>
    <col min="31" max="31" width="10.5546875" bestFit="1" customWidth="1"/>
    <col min="32" max="32" width="6.77734375" bestFit="1" customWidth="1"/>
    <col min="33" max="33" width="10.5546875" bestFit="1" customWidth="1"/>
    <col min="34" max="34" width="6.77734375" bestFit="1" customWidth="1"/>
    <col min="35" max="35" width="10.5546875" bestFit="1" customWidth="1"/>
    <col min="36" max="36" width="8" bestFit="1" customWidth="1"/>
    <col min="37" max="37" width="10.5546875" bestFit="1" customWidth="1"/>
    <col min="38" max="38" width="6.77734375" bestFit="1" customWidth="1"/>
    <col min="39" max="39" width="10.5546875" bestFit="1" customWidth="1"/>
    <col min="40" max="40" width="9.33203125" bestFit="1" customWidth="1"/>
    <col min="41" max="41" width="10.5546875" bestFit="1" customWidth="1"/>
    <col min="42" max="42" width="9.33203125" bestFit="1" customWidth="1"/>
    <col min="43" max="43" width="10.5546875" bestFit="1" customWidth="1"/>
    <col min="44" max="44" width="6.77734375" bestFit="1" customWidth="1"/>
    <col min="45" max="45" width="10.5546875" bestFit="1" customWidth="1"/>
    <col min="46" max="46" width="6.77734375" bestFit="1" customWidth="1"/>
    <col min="47" max="47" width="10.5546875" bestFit="1" customWidth="1"/>
    <col min="48" max="48" width="9.33203125" bestFit="1" customWidth="1"/>
    <col min="49" max="49" width="10.5546875" bestFit="1" customWidth="1"/>
    <col min="50" max="50" width="9.33203125" bestFit="1" customWidth="1"/>
    <col min="51" max="51" width="10.5546875" bestFit="1" customWidth="1"/>
    <col min="52" max="52" width="8" bestFit="1" customWidth="1"/>
    <col min="53" max="53" width="10.5546875" bestFit="1" customWidth="1"/>
    <col min="54" max="54" width="9.33203125" bestFit="1" customWidth="1"/>
    <col min="55" max="55" width="10.5546875" bestFit="1" customWidth="1"/>
    <col min="56" max="56" width="6.77734375" bestFit="1" customWidth="1"/>
    <col min="57" max="57" width="10.5546875" bestFit="1" customWidth="1"/>
    <col min="58" max="58" width="9.33203125" bestFit="1" customWidth="1"/>
    <col min="59" max="59" width="10.5546875" bestFit="1" customWidth="1"/>
    <col min="60" max="60" width="6.77734375" bestFit="1" customWidth="1"/>
    <col min="61" max="61" width="10.5546875" bestFit="1" customWidth="1"/>
    <col min="62" max="62" width="6.77734375" bestFit="1" customWidth="1"/>
    <col min="63" max="63" width="10.5546875" bestFit="1" customWidth="1"/>
    <col min="64" max="64" width="9.33203125" bestFit="1" customWidth="1"/>
    <col min="65" max="65" width="10.5546875" bestFit="1" customWidth="1"/>
    <col min="66" max="66" width="6.77734375" bestFit="1" customWidth="1"/>
    <col min="67" max="67" width="10.5546875" bestFit="1" customWidth="1"/>
    <col min="68" max="68" width="9.33203125" bestFit="1" customWidth="1"/>
    <col min="69" max="69" width="10.5546875" bestFit="1" customWidth="1"/>
    <col min="70" max="70" width="8" bestFit="1" customWidth="1"/>
    <col min="71" max="71" width="10.5546875" bestFit="1" customWidth="1"/>
    <col min="72" max="72" width="9.33203125" bestFit="1" customWidth="1"/>
    <col min="73" max="73" width="10.5546875" bestFit="1" customWidth="1"/>
    <col min="74" max="74" width="8" bestFit="1" customWidth="1"/>
    <col min="75" max="75" width="10.5546875" bestFit="1" customWidth="1"/>
    <col min="76" max="76" width="9.33203125" bestFit="1" customWidth="1"/>
    <col min="77" max="77" width="10.5546875" bestFit="1" customWidth="1"/>
    <col min="78" max="78" width="8" bestFit="1" customWidth="1"/>
    <col min="79" max="79" width="10.5546875" bestFit="1" customWidth="1"/>
    <col min="80" max="80" width="9.33203125" bestFit="1" customWidth="1"/>
    <col min="81" max="81" width="10.5546875" bestFit="1" customWidth="1"/>
    <col min="82" max="82" width="8" bestFit="1" customWidth="1"/>
    <col min="83" max="83" width="10.5546875" bestFit="1" customWidth="1"/>
    <col min="84" max="84" width="8" bestFit="1" customWidth="1"/>
    <col min="85" max="85" width="10.5546875" bestFit="1" customWidth="1"/>
    <col min="86" max="86" width="6.77734375" bestFit="1" customWidth="1"/>
    <col min="87" max="87" width="10.5546875" bestFit="1" customWidth="1"/>
    <col min="88" max="88" width="8" bestFit="1" customWidth="1"/>
    <col min="89" max="89" width="10.5546875" bestFit="1" customWidth="1"/>
    <col min="90" max="90" width="6.77734375" bestFit="1" customWidth="1"/>
    <col min="91" max="91" width="10.5546875" bestFit="1" customWidth="1"/>
    <col min="92" max="92" width="6.77734375" bestFit="1" customWidth="1"/>
    <col min="93" max="93" width="10.5546875" bestFit="1" customWidth="1"/>
    <col min="94" max="94" width="9.33203125" bestFit="1" customWidth="1"/>
    <col min="95" max="95" width="10.5546875" bestFit="1" customWidth="1"/>
    <col min="96" max="96" width="9.33203125" bestFit="1" customWidth="1"/>
    <col min="97" max="97" width="10.5546875" bestFit="1" customWidth="1"/>
    <col min="98" max="98" width="9.33203125" bestFit="1" customWidth="1"/>
    <col min="99" max="99" width="10.5546875" bestFit="1" customWidth="1"/>
    <col min="100" max="100" width="8" bestFit="1" customWidth="1"/>
    <col min="101" max="101" width="10.5546875" bestFit="1" customWidth="1"/>
    <col min="102" max="102" width="8" bestFit="1" customWidth="1"/>
    <col min="103" max="103" width="10.5546875" bestFit="1" customWidth="1"/>
    <col min="104" max="104" width="9.33203125" bestFit="1" customWidth="1"/>
    <col min="105" max="105" width="10.5546875" bestFit="1" customWidth="1"/>
    <col min="106" max="106" width="6.77734375" bestFit="1" customWidth="1"/>
    <col min="107" max="107" width="10.5546875" bestFit="1" customWidth="1"/>
    <col min="108" max="108" width="8" bestFit="1" customWidth="1"/>
    <col min="109" max="109" width="10.5546875" bestFit="1" customWidth="1"/>
    <col min="110" max="110" width="9.33203125" bestFit="1" customWidth="1"/>
    <col min="111" max="111" width="10.5546875" bestFit="1" customWidth="1"/>
    <col min="112" max="112" width="8" bestFit="1" customWidth="1"/>
    <col min="113" max="113" width="10.5546875" bestFit="1" customWidth="1"/>
    <col min="114" max="114" width="8" bestFit="1" customWidth="1"/>
    <col min="115" max="115" width="10.5546875" bestFit="1" customWidth="1"/>
    <col min="116" max="116" width="9.33203125" bestFit="1" customWidth="1"/>
    <col min="117" max="117" width="10.5546875" bestFit="1" customWidth="1"/>
    <col min="118" max="118" width="8" bestFit="1" customWidth="1"/>
    <col min="119" max="119" width="10.5546875" bestFit="1" customWidth="1"/>
    <col min="120" max="120" width="6.77734375" bestFit="1" customWidth="1"/>
    <col min="121" max="121" width="10.5546875" bestFit="1" customWidth="1"/>
    <col min="122" max="122" width="9.33203125" bestFit="1" customWidth="1"/>
    <col min="123" max="123" width="10.5546875" bestFit="1" customWidth="1"/>
    <col min="124" max="124" width="9.33203125" bestFit="1" customWidth="1"/>
    <col min="125" max="125" width="10.5546875" bestFit="1" customWidth="1"/>
    <col min="126" max="126" width="8" bestFit="1" customWidth="1"/>
    <col min="127" max="127" width="10.5546875" bestFit="1" customWidth="1"/>
    <col min="128" max="128" width="6.77734375" bestFit="1" customWidth="1"/>
    <col min="129" max="129" width="10.5546875" bestFit="1" customWidth="1"/>
    <col min="130" max="130" width="9.33203125" bestFit="1" customWidth="1"/>
    <col min="131" max="131" width="10.5546875" bestFit="1" customWidth="1"/>
    <col min="132" max="132" width="8" bestFit="1" customWidth="1"/>
    <col min="133" max="133" width="10.5546875" bestFit="1" customWidth="1"/>
    <col min="134" max="134" width="6.77734375" bestFit="1" customWidth="1"/>
    <col min="135" max="135" width="10.5546875" bestFit="1" customWidth="1"/>
    <col min="136" max="136" width="6.77734375" bestFit="1" customWidth="1"/>
    <col min="137" max="137" width="10.5546875" bestFit="1" customWidth="1"/>
    <col min="138" max="138" width="6.77734375" bestFit="1" customWidth="1"/>
    <col min="139" max="139" width="10.5546875" bestFit="1" customWidth="1"/>
    <col min="140" max="140" width="6.77734375" bestFit="1" customWidth="1"/>
    <col min="141" max="141" width="10.5546875" bestFit="1" customWidth="1"/>
    <col min="142" max="142" width="9.33203125" bestFit="1" customWidth="1"/>
    <col min="143" max="143" width="10.5546875" bestFit="1" customWidth="1"/>
    <col min="144" max="144" width="6.77734375" bestFit="1" customWidth="1"/>
    <col min="145" max="145" width="10.5546875" bestFit="1" customWidth="1"/>
    <col min="146" max="146" width="8" bestFit="1" customWidth="1"/>
    <col min="147" max="147" width="10.5546875" bestFit="1" customWidth="1"/>
    <col min="148" max="148" width="8" bestFit="1" customWidth="1"/>
    <col min="149" max="149" width="10.5546875" bestFit="1" customWidth="1"/>
    <col min="150" max="150" width="6.77734375" bestFit="1" customWidth="1"/>
    <col min="151" max="151" width="10.5546875" bestFit="1" customWidth="1"/>
    <col min="152" max="152" width="8" bestFit="1" customWidth="1"/>
    <col min="153" max="153" width="10.5546875" bestFit="1" customWidth="1"/>
    <col min="154" max="154" width="8" bestFit="1" customWidth="1"/>
    <col min="155" max="155" width="10.5546875" bestFit="1" customWidth="1"/>
    <col min="156" max="156" width="8" bestFit="1" customWidth="1"/>
    <col min="157" max="157" width="10.5546875" bestFit="1" customWidth="1"/>
    <col min="158" max="158" width="6.77734375" bestFit="1" customWidth="1"/>
    <col min="159" max="159" width="10.5546875" bestFit="1" customWidth="1"/>
    <col min="160" max="160" width="9.33203125" bestFit="1" customWidth="1"/>
    <col min="161" max="161" width="10.5546875" bestFit="1" customWidth="1"/>
    <col min="162" max="162" width="9.33203125" bestFit="1" customWidth="1"/>
    <col min="163" max="163" width="10.5546875" bestFit="1" customWidth="1"/>
    <col min="164" max="164" width="9.33203125" bestFit="1" customWidth="1"/>
    <col min="165" max="165" width="10.5546875" bestFit="1" customWidth="1"/>
    <col min="166" max="166" width="9.33203125" bestFit="1" customWidth="1"/>
    <col min="167" max="167" width="10.5546875" bestFit="1" customWidth="1"/>
    <col min="168" max="168" width="8" bestFit="1" customWidth="1"/>
    <col min="169" max="169" width="10.5546875" bestFit="1" customWidth="1"/>
    <col min="170" max="170" width="8" bestFit="1" customWidth="1"/>
    <col min="171" max="171" width="10.5546875" bestFit="1" customWidth="1"/>
    <col min="172" max="172" width="9.33203125" bestFit="1" customWidth="1"/>
    <col min="173" max="173" width="10.5546875" bestFit="1" customWidth="1"/>
    <col min="174" max="174" width="6.77734375" bestFit="1" customWidth="1"/>
    <col min="175" max="175" width="10.5546875" bestFit="1" customWidth="1"/>
    <col min="176" max="176" width="9.33203125" bestFit="1" customWidth="1"/>
    <col min="177" max="177" width="10.5546875" bestFit="1" customWidth="1"/>
    <col min="178" max="178" width="8" bestFit="1" customWidth="1"/>
    <col min="179" max="179" width="10.5546875" bestFit="1" customWidth="1"/>
    <col min="180" max="180" width="8" bestFit="1" customWidth="1"/>
    <col min="181" max="181" width="10.5546875" bestFit="1" customWidth="1"/>
    <col min="182" max="182" width="8" bestFit="1" customWidth="1"/>
    <col min="183" max="183" width="10.5546875" bestFit="1" customWidth="1"/>
    <col min="184" max="184" width="8" bestFit="1" customWidth="1"/>
    <col min="185" max="185" width="10.5546875" bestFit="1" customWidth="1"/>
    <col min="186" max="186" width="8" bestFit="1" customWidth="1"/>
    <col min="187" max="187" width="10.5546875" bestFit="1" customWidth="1"/>
    <col min="188" max="188" width="8" bestFit="1" customWidth="1"/>
    <col min="189" max="189" width="10.5546875" bestFit="1" customWidth="1"/>
    <col min="190" max="190" width="6.77734375" bestFit="1" customWidth="1"/>
    <col min="191" max="191" width="10.5546875" bestFit="1" customWidth="1"/>
    <col min="192" max="192" width="9.33203125" bestFit="1" customWidth="1"/>
    <col min="193" max="193" width="10.5546875" bestFit="1" customWidth="1"/>
    <col min="194" max="194" width="8" bestFit="1" customWidth="1"/>
    <col min="195" max="195" width="10.5546875" bestFit="1" customWidth="1"/>
    <col min="196" max="196" width="6.77734375" bestFit="1" customWidth="1"/>
    <col min="197" max="197" width="10.5546875" bestFit="1" customWidth="1"/>
    <col min="198" max="198" width="8" bestFit="1" customWidth="1"/>
    <col min="199" max="199" width="10.5546875" bestFit="1" customWidth="1"/>
    <col min="200" max="200" width="6.77734375" bestFit="1" customWidth="1"/>
    <col min="201" max="201" width="10.5546875" bestFit="1" customWidth="1"/>
    <col min="202" max="202" width="8" bestFit="1" customWidth="1"/>
    <col min="203" max="203" width="10.5546875" bestFit="1" customWidth="1"/>
    <col min="204" max="204" width="9.33203125" bestFit="1" customWidth="1"/>
    <col min="205" max="205" width="10.5546875" bestFit="1" customWidth="1"/>
    <col min="206" max="206" width="8" bestFit="1" customWidth="1"/>
    <col min="207" max="207" width="10.5546875" bestFit="1" customWidth="1"/>
    <col min="208" max="208" width="8" bestFit="1" customWidth="1"/>
    <col min="209" max="209" width="10.5546875" bestFit="1" customWidth="1"/>
    <col min="210" max="210" width="6.77734375" bestFit="1" customWidth="1"/>
    <col min="211" max="211" width="10.5546875" bestFit="1" customWidth="1"/>
    <col min="212" max="212" width="8" bestFit="1" customWidth="1"/>
    <col min="213" max="213" width="10.5546875" bestFit="1" customWidth="1"/>
    <col min="214" max="214" width="6.77734375" bestFit="1" customWidth="1"/>
    <col min="215" max="215" width="10.5546875" bestFit="1" customWidth="1"/>
    <col min="216" max="216" width="9.33203125" bestFit="1" customWidth="1"/>
    <col min="217" max="217" width="10.5546875" bestFit="1" customWidth="1"/>
    <col min="218" max="218" width="6.77734375" bestFit="1" customWidth="1"/>
    <col min="219" max="219" width="10.5546875" bestFit="1" customWidth="1"/>
    <col min="220" max="220" width="9.33203125" bestFit="1" customWidth="1"/>
    <col min="221" max="221" width="10.5546875" bestFit="1" customWidth="1"/>
    <col min="222" max="222" width="8" bestFit="1" customWidth="1"/>
    <col min="223" max="223" width="10.5546875" bestFit="1" customWidth="1"/>
    <col min="224" max="224" width="9.33203125" bestFit="1" customWidth="1"/>
    <col min="225" max="225" width="10.5546875" bestFit="1" customWidth="1"/>
    <col min="226" max="226" width="6.77734375" bestFit="1" customWidth="1"/>
    <col min="227" max="227" width="10.5546875" bestFit="1" customWidth="1"/>
    <col min="228" max="228" width="9.33203125" bestFit="1" customWidth="1"/>
    <col min="229" max="229" width="10.5546875" bestFit="1" customWidth="1"/>
    <col min="230" max="230" width="9.33203125" bestFit="1" customWidth="1"/>
    <col min="231" max="231" width="10.5546875" bestFit="1" customWidth="1"/>
    <col min="232" max="232" width="9.33203125" bestFit="1" customWidth="1"/>
    <col min="233" max="233" width="10.5546875" bestFit="1" customWidth="1"/>
    <col min="234" max="234" width="8" bestFit="1" customWidth="1"/>
    <col min="235" max="235" width="10.5546875" bestFit="1" customWidth="1"/>
    <col min="236" max="236" width="6.77734375" bestFit="1" customWidth="1"/>
    <col min="237" max="237" width="10.5546875" bestFit="1" customWidth="1"/>
    <col min="238" max="238" width="6.77734375" bestFit="1" customWidth="1"/>
    <col min="239" max="239" width="10.5546875" bestFit="1" customWidth="1"/>
    <col min="240" max="240" width="6.77734375" bestFit="1" customWidth="1"/>
    <col min="241" max="241" width="10.5546875" bestFit="1" customWidth="1"/>
    <col min="242" max="242" width="6.77734375" bestFit="1" customWidth="1"/>
    <col min="243" max="243" width="10.5546875" bestFit="1" customWidth="1"/>
    <col min="244" max="244" width="9.33203125" bestFit="1" customWidth="1"/>
    <col min="245" max="245" width="10.5546875" bestFit="1" customWidth="1"/>
    <col min="246" max="246" width="9.33203125" bestFit="1" customWidth="1"/>
    <col min="247" max="247" width="10.5546875" bestFit="1" customWidth="1"/>
    <col min="248" max="248" width="8" bestFit="1" customWidth="1"/>
    <col min="249" max="249" width="10.5546875" bestFit="1" customWidth="1"/>
    <col min="250" max="250" width="6.77734375" bestFit="1" customWidth="1"/>
    <col min="251" max="251" width="10.5546875" bestFit="1" customWidth="1"/>
    <col min="252" max="252" width="6.77734375" bestFit="1" customWidth="1"/>
    <col min="253" max="253" width="10.5546875" bestFit="1" customWidth="1"/>
    <col min="254" max="254" width="6.77734375" bestFit="1" customWidth="1"/>
    <col min="255" max="255" width="10.5546875" bestFit="1" customWidth="1"/>
    <col min="256" max="256" width="6.77734375" bestFit="1" customWidth="1"/>
    <col min="257" max="257" width="10.5546875" bestFit="1" customWidth="1"/>
    <col min="258" max="258" width="8" bestFit="1" customWidth="1"/>
    <col min="259" max="259" width="10.5546875" bestFit="1" customWidth="1"/>
    <col min="260" max="260" width="8" bestFit="1" customWidth="1"/>
    <col min="261" max="261" width="10.5546875" bestFit="1" customWidth="1"/>
    <col min="262" max="262" width="8" bestFit="1" customWidth="1"/>
    <col min="263" max="263" width="10.5546875" bestFit="1" customWidth="1"/>
    <col min="264" max="264" width="6.77734375" bestFit="1" customWidth="1"/>
    <col min="265" max="265" width="10.5546875" bestFit="1" customWidth="1"/>
    <col min="266" max="266" width="8" bestFit="1" customWidth="1"/>
    <col min="267" max="267" width="10.5546875" bestFit="1" customWidth="1"/>
    <col min="268" max="268" width="8" bestFit="1" customWidth="1"/>
    <col min="269" max="269" width="10.5546875" bestFit="1" customWidth="1"/>
    <col min="270" max="270" width="8" bestFit="1" customWidth="1"/>
    <col min="271" max="271" width="10.5546875" bestFit="1" customWidth="1"/>
    <col min="272" max="272" width="9.33203125" bestFit="1" customWidth="1"/>
    <col min="273" max="273" width="10.5546875" bestFit="1" customWidth="1"/>
    <col min="274" max="274" width="6.77734375" bestFit="1" customWidth="1"/>
    <col min="275" max="275" width="10.5546875" bestFit="1" customWidth="1"/>
    <col min="276" max="276" width="6.77734375" bestFit="1" customWidth="1"/>
    <col min="277" max="277" width="10.5546875" bestFit="1" customWidth="1"/>
    <col min="278" max="278" width="9.33203125" bestFit="1" customWidth="1"/>
    <col min="279" max="279" width="10.5546875" bestFit="1" customWidth="1"/>
    <col min="280" max="280" width="9.33203125" bestFit="1" customWidth="1"/>
    <col min="281" max="281" width="10.5546875" bestFit="1" customWidth="1"/>
    <col min="282" max="282" width="9.33203125" bestFit="1" customWidth="1"/>
    <col min="283" max="283" width="10.5546875" bestFit="1" customWidth="1"/>
    <col min="284" max="284" width="8" bestFit="1" customWidth="1"/>
    <col min="285" max="285" width="10.5546875" bestFit="1" customWidth="1"/>
    <col min="286" max="286" width="6.77734375" bestFit="1" customWidth="1"/>
    <col min="287" max="287" width="10.5546875" bestFit="1" customWidth="1"/>
    <col min="288" max="288" width="6.77734375" bestFit="1" customWidth="1"/>
    <col min="289" max="289" width="10.5546875" bestFit="1" customWidth="1"/>
    <col min="290" max="290" width="6.77734375" bestFit="1" customWidth="1"/>
    <col min="291" max="291" width="10.5546875" bestFit="1" customWidth="1"/>
    <col min="292" max="292" width="6.77734375" bestFit="1" customWidth="1"/>
    <col min="293" max="293" width="10.5546875" bestFit="1" customWidth="1"/>
    <col min="294" max="294" width="8" bestFit="1" customWidth="1"/>
    <col min="295" max="295" width="10.5546875" bestFit="1" customWidth="1"/>
    <col min="296" max="296" width="6.77734375" bestFit="1" customWidth="1"/>
    <col min="297" max="297" width="10.5546875" bestFit="1" customWidth="1"/>
    <col min="298" max="298" width="6.77734375" bestFit="1" customWidth="1"/>
    <col min="299" max="299" width="10.5546875" bestFit="1" customWidth="1"/>
    <col min="300" max="300" width="9.33203125" bestFit="1" customWidth="1"/>
    <col min="301" max="301" width="10.5546875" bestFit="1" customWidth="1"/>
    <col min="302" max="302" width="6.77734375" bestFit="1" customWidth="1"/>
    <col min="303" max="303" width="10.5546875" bestFit="1" customWidth="1"/>
    <col min="304" max="304" width="8" bestFit="1" customWidth="1"/>
    <col min="305" max="305" width="10.5546875" bestFit="1" customWidth="1"/>
    <col min="306" max="306" width="8" bestFit="1" customWidth="1"/>
    <col min="307" max="307" width="10.5546875" bestFit="1" customWidth="1"/>
    <col min="308" max="308" width="8" bestFit="1" customWidth="1"/>
    <col min="309" max="309" width="10.5546875" bestFit="1" customWidth="1"/>
    <col min="310" max="310" width="8" bestFit="1" customWidth="1"/>
    <col min="311" max="311" width="10.5546875" bestFit="1" customWidth="1"/>
    <col min="312" max="312" width="8" bestFit="1" customWidth="1"/>
    <col min="313" max="313" width="10.5546875" bestFit="1" customWidth="1"/>
    <col min="314" max="314" width="6.77734375" bestFit="1" customWidth="1"/>
    <col min="315" max="315" width="10.5546875" bestFit="1" customWidth="1"/>
    <col min="316" max="316" width="8" bestFit="1" customWidth="1"/>
    <col min="317" max="317" width="10.5546875" bestFit="1" customWidth="1"/>
    <col min="318" max="318" width="9.33203125" bestFit="1" customWidth="1"/>
    <col min="319" max="319" width="10.5546875" bestFit="1" customWidth="1"/>
    <col min="320" max="320" width="6.77734375" bestFit="1" customWidth="1"/>
    <col min="321" max="321" width="10.5546875" bestFit="1" customWidth="1"/>
    <col min="322" max="322" width="6.77734375" bestFit="1" customWidth="1"/>
    <col min="323" max="323" width="10.5546875" bestFit="1" customWidth="1"/>
    <col min="324" max="324" width="6.77734375" bestFit="1" customWidth="1"/>
    <col min="325" max="325" width="10.5546875" bestFit="1" customWidth="1"/>
    <col min="326" max="326" width="8" bestFit="1" customWidth="1"/>
    <col min="327" max="327" width="10.5546875" bestFit="1" customWidth="1"/>
    <col min="328" max="328" width="9.33203125" bestFit="1" customWidth="1"/>
    <col min="329" max="329" width="10.5546875" bestFit="1" customWidth="1"/>
    <col min="330" max="330" width="6.77734375" bestFit="1" customWidth="1"/>
    <col min="331" max="331" width="10.5546875" bestFit="1" customWidth="1"/>
    <col min="332" max="332" width="8" bestFit="1" customWidth="1"/>
    <col min="333" max="333" width="10.5546875" bestFit="1" customWidth="1"/>
    <col min="334" max="334" width="9.33203125" bestFit="1" customWidth="1"/>
    <col min="335" max="335" width="10.5546875" bestFit="1" customWidth="1"/>
    <col min="336" max="336" width="9.33203125" bestFit="1" customWidth="1"/>
    <col min="337" max="337" width="10.5546875" bestFit="1" customWidth="1"/>
    <col min="338" max="338" width="8" bestFit="1" customWidth="1"/>
    <col min="339" max="339" width="10.5546875" bestFit="1" customWidth="1"/>
    <col min="340" max="340" width="6.77734375" bestFit="1" customWidth="1"/>
    <col min="341" max="341" width="10.5546875" bestFit="1" customWidth="1"/>
    <col min="342" max="342" width="9.33203125" bestFit="1" customWidth="1"/>
    <col min="343" max="343" width="10.5546875" bestFit="1" customWidth="1"/>
    <col min="344" max="344" width="8" bestFit="1" customWidth="1"/>
    <col min="345" max="345" width="10.5546875" bestFit="1" customWidth="1"/>
    <col min="346" max="346" width="9.33203125" bestFit="1" customWidth="1"/>
    <col min="347" max="347" width="10.5546875" bestFit="1" customWidth="1"/>
    <col min="348" max="348" width="8" bestFit="1" customWidth="1"/>
    <col min="349" max="349" width="10.5546875" bestFit="1" customWidth="1"/>
    <col min="350" max="350" width="9.33203125" bestFit="1" customWidth="1"/>
    <col min="351" max="351" width="10.5546875" bestFit="1" customWidth="1"/>
    <col min="352" max="352" width="6.77734375" bestFit="1" customWidth="1"/>
    <col min="353" max="353" width="10.5546875" bestFit="1" customWidth="1"/>
    <col min="354" max="354" width="8" bestFit="1" customWidth="1"/>
    <col min="355" max="355" width="10.5546875" bestFit="1" customWidth="1"/>
    <col min="356" max="356" width="9.33203125" bestFit="1" customWidth="1"/>
    <col min="357" max="357" width="10.5546875" bestFit="1" customWidth="1"/>
    <col min="358" max="358" width="6.77734375" bestFit="1" customWidth="1"/>
    <col min="359" max="359" width="10.5546875" bestFit="1" customWidth="1"/>
    <col min="360" max="360" width="8" bestFit="1" customWidth="1"/>
    <col min="361" max="361" width="10.5546875" bestFit="1" customWidth="1"/>
    <col min="362" max="362" width="8" bestFit="1" customWidth="1"/>
    <col min="363" max="363" width="10.5546875" bestFit="1" customWidth="1"/>
    <col min="364" max="364" width="6.77734375" bestFit="1" customWidth="1"/>
    <col min="365" max="365" width="10.5546875" bestFit="1" customWidth="1"/>
    <col min="366" max="366" width="6.77734375" bestFit="1" customWidth="1"/>
    <col min="367" max="367" width="10.5546875" bestFit="1" customWidth="1"/>
    <col min="368" max="368" width="6.77734375" bestFit="1" customWidth="1"/>
    <col min="369" max="369" width="10.5546875" bestFit="1" customWidth="1"/>
    <col min="370" max="370" width="9.33203125" bestFit="1" customWidth="1"/>
    <col min="371" max="371" width="10.5546875" bestFit="1" customWidth="1"/>
    <col min="372" max="372" width="6.77734375" bestFit="1" customWidth="1"/>
    <col min="373" max="373" width="10.5546875" bestFit="1" customWidth="1"/>
    <col min="374" max="374" width="9.33203125" bestFit="1" customWidth="1"/>
    <col min="375" max="375" width="10.5546875" bestFit="1" customWidth="1"/>
    <col min="376" max="376" width="9.33203125" bestFit="1" customWidth="1"/>
    <col min="377" max="377" width="10.5546875" bestFit="1" customWidth="1"/>
    <col min="378" max="378" width="6.77734375" bestFit="1" customWidth="1"/>
    <col min="379" max="379" width="10.5546875" bestFit="1" customWidth="1"/>
    <col min="380" max="380" width="9.33203125" bestFit="1" customWidth="1"/>
    <col min="381" max="381" width="10.5546875" bestFit="1" customWidth="1"/>
    <col min="382" max="382" width="9.33203125" bestFit="1" customWidth="1"/>
    <col min="383" max="383" width="10.5546875" bestFit="1" customWidth="1"/>
    <col min="384" max="384" width="6.77734375" bestFit="1" customWidth="1"/>
    <col min="385" max="385" width="10.5546875" bestFit="1" customWidth="1"/>
    <col min="386" max="386" width="9.33203125" bestFit="1" customWidth="1"/>
    <col min="387" max="387" width="10.5546875" bestFit="1" customWidth="1"/>
    <col min="388" max="388" width="9.33203125" bestFit="1" customWidth="1"/>
    <col min="389" max="389" width="10.5546875" bestFit="1" customWidth="1"/>
    <col min="390" max="390" width="6.77734375" bestFit="1" customWidth="1"/>
    <col min="391" max="391" width="10.5546875" bestFit="1" customWidth="1"/>
    <col min="392" max="392" width="6.77734375" bestFit="1" customWidth="1"/>
    <col min="393" max="393" width="10.5546875" bestFit="1" customWidth="1"/>
    <col min="394" max="394" width="9.33203125" bestFit="1" customWidth="1"/>
    <col min="395" max="395" width="10.5546875" bestFit="1" customWidth="1"/>
    <col min="396" max="396" width="9.33203125" bestFit="1" customWidth="1"/>
    <col min="397" max="397" width="10.5546875" bestFit="1" customWidth="1"/>
    <col min="398" max="398" width="8" bestFit="1" customWidth="1"/>
    <col min="399" max="399" width="10.5546875" bestFit="1" customWidth="1"/>
    <col min="400" max="400" width="6.77734375" bestFit="1" customWidth="1"/>
    <col min="401" max="402" width="10.5546875" bestFit="1" customWidth="1"/>
  </cols>
  <sheetData>
    <row r="1" spans="1:2" ht="18" x14ac:dyDescent="0.35">
      <c r="A1" s="133" t="s">
        <v>392</v>
      </c>
      <c r="B1" s="133"/>
    </row>
    <row r="2" spans="1:2" x14ac:dyDescent="0.3">
      <c r="A2" s="7" t="s">
        <v>1</v>
      </c>
      <c r="B2" t="s">
        <v>352</v>
      </c>
    </row>
    <row r="3" spans="1:2" x14ac:dyDescent="0.3">
      <c r="A3" t="s">
        <v>22</v>
      </c>
      <c r="B3" s="3">
        <v>6.8856716417910446</v>
      </c>
    </row>
    <row r="4" spans="1:2" x14ac:dyDescent="0.3">
      <c r="A4" t="s">
        <v>28</v>
      </c>
      <c r="B4" s="3">
        <v>6.7189393939393929</v>
      </c>
    </row>
    <row r="5" spans="1:2" x14ac:dyDescent="0.3">
      <c r="A5" t="s">
        <v>13</v>
      </c>
      <c r="B5" s="3">
        <v>6.4582089552238831</v>
      </c>
    </row>
    <row r="6" spans="1:2" x14ac:dyDescent="0.3">
      <c r="A6" t="s">
        <v>346</v>
      </c>
      <c r="B6" s="3">
        <v>6.6874499999999975</v>
      </c>
    </row>
    <row r="24" spans="1:5" ht="21" x14ac:dyDescent="0.4">
      <c r="A24" s="138" t="s">
        <v>394</v>
      </c>
      <c r="B24" s="138"/>
      <c r="C24" s="138"/>
      <c r="D24" s="138"/>
      <c r="E24" s="138"/>
    </row>
    <row r="25" spans="1:5" x14ac:dyDescent="0.3">
      <c r="A25" s="48" t="s">
        <v>357</v>
      </c>
      <c r="B25" s="48" t="s">
        <v>1</v>
      </c>
      <c r="C25" s="8"/>
      <c r="D25" s="8"/>
      <c r="E25" s="8"/>
    </row>
    <row r="26" spans="1:5" x14ac:dyDescent="0.3">
      <c r="A26" s="48" t="s">
        <v>339</v>
      </c>
      <c r="B26" s="8" t="s">
        <v>13</v>
      </c>
      <c r="C26" s="8" t="s">
        <v>22</v>
      </c>
      <c r="D26" s="8" t="s">
        <v>28</v>
      </c>
      <c r="E26" s="8" t="s">
        <v>346</v>
      </c>
    </row>
    <row r="27" spans="1:5" x14ac:dyDescent="0.3">
      <c r="A27" s="47">
        <v>45446</v>
      </c>
      <c r="B27" s="49">
        <v>1.0709526179733787E-2</v>
      </c>
      <c r="C27" s="49">
        <v>3.9875766588582107E-3</v>
      </c>
      <c r="D27" s="49">
        <v>3.176300905893983E-3</v>
      </c>
      <c r="E27" s="49">
        <v>5.957801248161994E-3</v>
      </c>
    </row>
    <row r="28" spans="1:5" x14ac:dyDescent="0.3">
      <c r="A28" s="47">
        <v>45453</v>
      </c>
      <c r="B28" s="49">
        <v>1.0035253152237385E-2</v>
      </c>
      <c r="C28" s="49">
        <v>4.247465810484582E-3</v>
      </c>
      <c r="D28" s="49">
        <v>1.1541771253329111E-3</v>
      </c>
      <c r="E28" s="49">
        <v>5.1456320293516268E-3</v>
      </c>
    </row>
    <row r="29" spans="1:5" x14ac:dyDescent="0.3">
      <c r="A29" s="47">
        <v>45460</v>
      </c>
      <c r="B29" s="49">
        <v>6.1532043593888509E-3</v>
      </c>
      <c r="C29" s="49">
        <v>5.2165710498603361E-3</v>
      </c>
      <c r="D29" s="49">
        <v>5.1990991422684362E-3</v>
      </c>
      <c r="E29" s="49">
        <v>5.5229581838392083E-3</v>
      </c>
    </row>
    <row r="30" spans="1:5" x14ac:dyDescent="0.3">
      <c r="A30" s="47">
        <v>45467</v>
      </c>
      <c r="B30" s="49">
        <v>7.0194756038813571E-3</v>
      </c>
      <c r="C30" s="49">
        <v>8.7155963302752298E-3</v>
      </c>
      <c r="D30" s="49">
        <v>5.5548942586200059E-3</v>
      </c>
      <c r="E30" s="49">
        <v>7.0966553975921982E-3</v>
      </c>
    </row>
    <row r="31" spans="1:5" x14ac:dyDescent="0.3">
      <c r="A31" s="47">
        <v>45474</v>
      </c>
      <c r="B31" s="49">
        <v>3.9974246283906723E-3</v>
      </c>
      <c r="C31" s="49">
        <v>2.7265062228494967E-3</v>
      </c>
      <c r="D31" s="49">
        <v>3.7184126339477423E-3</v>
      </c>
      <c r="E31" s="49">
        <v>3.4807811617293036E-3</v>
      </c>
    </row>
    <row r="32" spans="1:5" x14ac:dyDescent="0.3">
      <c r="A32" s="47">
        <v>45481</v>
      </c>
      <c r="B32" s="49">
        <v>1.9610667968164271E-3</v>
      </c>
      <c r="C32" s="49">
        <v>1.7836234485988603E-2</v>
      </c>
      <c r="D32" s="49">
        <v>5.7836390843520723E-3</v>
      </c>
      <c r="E32" s="49">
        <v>8.5269801223857005E-3</v>
      </c>
    </row>
    <row r="33" spans="1:5" x14ac:dyDescent="0.3">
      <c r="A33" s="47">
        <v>45488</v>
      </c>
      <c r="B33" s="49">
        <v>2.1159343412017798E-3</v>
      </c>
      <c r="C33" s="49">
        <v>4.1633646660018432E-3</v>
      </c>
      <c r="D33" s="49">
        <v>4.4074791828765565E-3</v>
      </c>
      <c r="E33" s="49">
        <v>3.5622593966933933E-3</v>
      </c>
    </row>
    <row r="34" spans="1:5" x14ac:dyDescent="0.3">
      <c r="A34" s="47">
        <v>45495</v>
      </c>
      <c r="B34" s="49">
        <v>3.8800515380583087E-3</v>
      </c>
      <c r="C34" s="49">
        <v>1.3666228646517741E-3</v>
      </c>
      <c r="D34" s="49">
        <v>2.9558125725816196E-3</v>
      </c>
      <c r="E34" s="49">
        <v>2.7341623250972343E-3</v>
      </c>
    </row>
    <row r="35" spans="1:5" x14ac:dyDescent="0.3">
      <c r="A35" s="47">
        <v>45502</v>
      </c>
      <c r="B35" s="49">
        <v>2.3089717768720206E-3</v>
      </c>
      <c r="C35" s="49">
        <v>5.2125958475504573E-3</v>
      </c>
      <c r="D35" s="49">
        <v>2.4107127645679174E-3</v>
      </c>
      <c r="E35" s="49">
        <v>3.3107601296634651E-3</v>
      </c>
    </row>
    <row r="36" spans="1:5" x14ac:dyDescent="0.3">
      <c r="A36" s="47">
        <v>45509</v>
      </c>
      <c r="B36" s="49">
        <v>6.7435554935305723E-3</v>
      </c>
      <c r="C36" s="49">
        <v>4.3839826448522105E-3</v>
      </c>
      <c r="D36" s="49">
        <v>2.3829134417695176E-3</v>
      </c>
      <c r="E36" s="49">
        <v>4.5034838600507667E-3</v>
      </c>
    </row>
    <row r="37" spans="1:5" x14ac:dyDescent="0.3">
      <c r="A37" s="47">
        <v>45516</v>
      </c>
      <c r="B37" s="49">
        <v>1.4216285431581398E-2</v>
      </c>
      <c r="C37" s="49">
        <v>1.031124193757846E-2</v>
      </c>
      <c r="D37" s="49">
        <v>3.2668165162148292E-3</v>
      </c>
      <c r="E37" s="49">
        <v>9.2647812951248947E-3</v>
      </c>
    </row>
    <row r="38" spans="1:5" x14ac:dyDescent="0.3">
      <c r="A38" s="47">
        <v>45523</v>
      </c>
      <c r="B38" s="49">
        <v>2.5711521816608116E-3</v>
      </c>
      <c r="C38" s="49">
        <v>6.2169419806330862E-3</v>
      </c>
      <c r="D38" s="49">
        <v>6.1138546368952043E-3</v>
      </c>
      <c r="E38" s="49">
        <v>4.967316266396367E-3</v>
      </c>
    </row>
    <row r="39" spans="1:5" x14ac:dyDescent="0.3">
      <c r="A39" s="47">
        <v>45530</v>
      </c>
      <c r="B39" s="49">
        <v>5.2519335029163131E-3</v>
      </c>
      <c r="C39" s="49">
        <v>1.1090510417460359E-3</v>
      </c>
      <c r="D39" s="49">
        <v>4.3018845648676966E-3</v>
      </c>
      <c r="E39" s="49">
        <v>3.5542897031766822E-3</v>
      </c>
    </row>
    <row r="40" spans="1:5" x14ac:dyDescent="0.3">
      <c r="A40" s="47">
        <v>45537</v>
      </c>
      <c r="B40" s="49">
        <v>1.5378321642822803E-3</v>
      </c>
      <c r="C40" s="49">
        <v>2.6618404566337186E-3</v>
      </c>
      <c r="D40" s="49">
        <v>2.8775171297394605E-3</v>
      </c>
      <c r="E40" s="49">
        <v>2.3590632502184863E-3</v>
      </c>
    </row>
    <row r="41" spans="1:5" x14ac:dyDescent="0.3">
      <c r="A41" s="47">
        <v>45544</v>
      </c>
      <c r="B41" s="49">
        <v>1.7288453918263881E-3</v>
      </c>
      <c r="C41" s="49">
        <v>4.7123181781018424E-3</v>
      </c>
      <c r="D41" s="49">
        <v>2.3319170287838973E-3</v>
      </c>
      <c r="E41" s="49">
        <v>2.9243601995707093E-3</v>
      </c>
    </row>
    <row r="42" spans="1:5" x14ac:dyDescent="0.3">
      <c r="A42" s="47">
        <v>45551</v>
      </c>
      <c r="B42" s="49">
        <v>1.8947546272643525E-3</v>
      </c>
      <c r="C42" s="49">
        <v>3.4796436801746559E-3</v>
      </c>
      <c r="D42" s="49">
        <v>2.2541306944976669E-3</v>
      </c>
      <c r="E42" s="49">
        <v>2.5428430006455582E-3</v>
      </c>
    </row>
    <row r="43" spans="1:5" x14ac:dyDescent="0.3">
      <c r="A43" s="47">
        <v>45558</v>
      </c>
      <c r="B43" s="49">
        <v>1.3784135240572171E-2</v>
      </c>
      <c r="C43" s="49">
        <v>3.305365562946797E-3</v>
      </c>
      <c r="D43" s="49">
        <v>1.3748256088824177E-3</v>
      </c>
      <c r="E43" s="49">
        <v>6.1547754708004615E-3</v>
      </c>
    </row>
    <row r="44" spans="1:5" x14ac:dyDescent="0.3">
      <c r="A44" s="47">
        <v>45565</v>
      </c>
      <c r="B44" s="49">
        <v>3.0190531054641659E-3</v>
      </c>
      <c r="C44" s="49">
        <v>4.6946006530167259E-3</v>
      </c>
      <c r="D44" s="49">
        <v>3.2768049617799048E-3</v>
      </c>
      <c r="E44" s="49">
        <v>3.6634862400869322E-3</v>
      </c>
    </row>
    <row r="45" spans="1:5" x14ac:dyDescent="0.3">
      <c r="A45" s="47">
        <v>45572</v>
      </c>
      <c r="B45" s="49">
        <v>1.7507375647522346E-3</v>
      </c>
      <c r="C45" s="49">
        <v>2.8850860838862216E-3</v>
      </c>
      <c r="D45" s="49">
        <v>8.0878372132944243E-3</v>
      </c>
      <c r="E45" s="49">
        <v>4.2412202873109602E-3</v>
      </c>
    </row>
    <row r="46" spans="1:5" x14ac:dyDescent="0.3">
      <c r="A46" s="47">
        <v>45579</v>
      </c>
      <c r="B46" s="49">
        <v>4.7398149771776844E-3</v>
      </c>
      <c r="C46" s="49">
        <v>1.8353650184906177E-3</v>
      </c>
      <c r="D46" s="49">
        <v>3.8177207407976638E-3</v>
      </c>
      <c r="E46" s="49">
        <v>3.464300245488655E-3</v>
      </c>
    </row>
    <row r="47" spans="1:5" x14ac:dyDescent="0.3">
      <c r="A47" s="47">
        <v>45586</v>
      </c>
      <c r="B47" s="49">
        <v>1.0915497012055407E-2</v>
      </c>
      <c r="C47" s="49">
        <v>5.3980915408646862E-3</v>
      </c>
      <c r="D47" s="49">
        <v>7.2173750633688196E-3</v>
      </c>
      <c r="E47" s="49">
        <v>7.8436545387629703E-3</v>
      </c>
    </row>
    <row r="48" spans="1:5" x14ac:dyDescent="0.3">
      <c r="A48" s="47">
        <v>45593</v>
      </c>
      <c r="B48" s="49">
        <v>3.8051035059458792E-3</v>
      </c>
      <c r="C48" s="49">
        <v>1.5788005199153436E-3</v>
      </c>
      <c r="D48" s="49">
        <v>3.6774665438586984E-3</v>
      </c>
      <c r="E48" s="49">
        <v>3.020456856573307E-3</v>
      </c>
    </row>
    <row r="49" spans="1:5" x14ac:dyDescent="0.3">
      <c r="A49" s="47">
        <v>45600</v>
      </c>
      <c r="B49" s="49">
        <v>3.6781918718691762E-3</v>
      </c>
      <c r="C49" s="49">
        <v>3.9842122008616216E-3</v>
      </c>
      <c r="D49" s="49">
        <v>8.0175996088975802E-3</v>
      </c>
      <c r="E49" s="49">
        <v>5.2266678938761258E-3</v>
      </c>
    </row>
    <row r="50" spans="1:5" x14ac:dyDescent="0.3">
      <c r="A50" s="47">
        <v>45607</v>
      </c>
      <c r="B50" s="49">
        <v>3.9281193313061976E-3</v>
      </c>
      <c r="C50" s="49">
        <v>2.6275238057607967E-3</v>
      </c>
      <c r="D50" s="49">
        <v>4.6556860536239985E-3</v>
      </c>
      <c r="E50" s="49">
        <v>3.7371097302303312E-3</v>
      </c>
    </row>
    <row r="51" spans="1:5" x14ac:dyDescent="0.3">
      <c r="A51" s="47">
        <v>45614</v>
      </c>
      <c r="B51" s="49">
        <v>2.741648314656868E-3</v>
      </c>
      <c r="C51" s="49">
        <v>5.0288483327232481E-3</v>
      </c>
      <c r="D51" s="49">
        <v>2.0449775112443779E-3</v>
      </c>
      <c r="E51" s="49">
        <v>3.2718247195414984E-3</v>
      </c>
    </row>
    <row r="52" spans="1:5" x14ac:dyDescent="0.3">
      <c r="A52" s="47">
        <v>45621</v>
      </c>
      <c r="B52" s="49">
        <v>1.2759550523566889E-3</v>
      </c>
      <c r="C52" s="49">
        <v>4.2439230501565839E-3</v>
      </c>
      <c r="D52" s="49">
        <v>5.8524314976443207E-3</v>
      </c>
      <c r="E52" s="49">
        <v>3.790769866719198E-3</v>
      </c>
    </row>
    <row r="53" spans="1:5" x14ac:dyDescent="0.3">
      <c r="A53" s="47">
        <v>45628</v>
      </c>
      <c r="B53" s="49">
        <v>4.7176696580273365E-3</v>
      </c>
      <c r="C53" s="49">
        <v>7.8261885293774095E-3</v>
      </c>
      <c r="D53" s="49">
        <v>2.0028848369668811E-3</v>
      </c>
      <c r="E53" s="49">
        <v>4.848914341457209E-3</v>
      </c>
    </row>
    <row r="54" spans="1:5" x14ac:dyDescent="0.3">
      <c r="A54" s="47">
        <v>45635</v>
      </c>
      <c r="B54" s="49">
        <v>1.7677812464738406E-3</v>
      </c>
      <c r="C54" s="49">
        <v>3.8344284334702996E-3</v>
      </c>
      <c r="D54" s="49">
        <v>3.2086280175382597E-3</v>
      </c>
      <c r="E54" s="49">
        <v>2.9369458991607999E-3</v>
      </c>
    </row>
    <row r="55" spans="1:5" x14ac:dyDescent="0.3">
      <c r="A55" s="47">
        <v>45642</v>
      </c>
      <c r="B55" s="49">
        <v>6.506669773402458E-3</v>
      </c>
      <c r="C55" s="49">
        <v>2.7987701840030041E-3</v>
      </c>
      <c r="D55" s="49">
        <v>7.8332145402708487E-3</v>
      </c>
      <c r="E55" s="49">
        <v>5.7128848325587707E-3</v>
      </c>
    </row>
    <row r="56" spans="1:5" x14ac:dyDescent="0.3">
      <c r="A56" s="47">
        <v>45649</v>
      </c>
      <c r="B56" s="49">
        <v>4.8653658034289241E-3</v>
      </c>
      <c r="C56" s="49">
        <v>6.4046760353189906E-3</v>
      </c>
      <c r="D56" s="49">
        <v>2.60081206532016E-3</v>
      </c>
      <c r="E56" s="49">
        <v>4.6236179680226915E-3</v>
      </c>
    </row>
    <row r="57" spans="1:5" x14ac:dyDescent="0.3">
      <c r="A57" s="47">
        <v>45656</v>
      </c>
      <c r="B57" s="49">
        <v>1.7165562473503519E-3</v>
      </c>
      <c r="C57" s="49">
        <v>3.7157691133055076E-3</v>
      </c>
      <c r="D57" s="49">
        <v>4.3562203906807708E-3</v>
      </c>
      <c r="E57" s="49">
        <v>3.2628485837788769E-3</v>
      </c>
    </row>
    <row r="58" spans="1:5" x14ac:dyDescent="0.3">
      <c r="A58" s="47">
        <v>45663</v>
      </c>
      <c r="B58" s="49">
        <v>3.1809630491290049E-3</v>
      </c>
      <c r="C58" s="49">
        <v>8.2282093543773697E-3</v>
      </c>
      <c r="D58" s="49">
        <v>2.8057492705051896E-3</v>
      </c>
      <c r="E58" s="49">
        <v>4.7383072246705215E-3</v>
      </c>
    </row>
    <row r="59" spans="1:5" x14ac:dyDescent="0.3">
      <c r="A59" s="47">
        <v>45670</v>
      </c>
      <c r="B59" s="49">
        <v>1.3793673813581599E-3</v>
      </c>
      <c r="C59" s="49">
        <v>3.960732004118693E-3</v>
      </c>
      <c r="D59" s="49">
        <v>2.9568975321278288E-3</v>
      </c>
      <c r="E59" s="49">
        <v>2.7656656392015602E-3</v>
      </c>
    </row>
    <row r="60" spans="1:5" x14ac:dyDescent="0.3">
      <c r="A60" s="47">
        <v>45677</v>
      </c>
      <c r="B60" s="49">
        <v>1.3487040845594743E-3</v>
      </c>
      <c r="C60" s="49">
        <v>2.0100280520398473E-3</v>
      </c>
      <c r="D60" s="49">
        <v>2.5280739012313877E-3</v>
      </c>
      <c r="E60" s="49">
        <v>1.962268679276903E-3</v>
      </c>
    </row>
    <row r="61" spans="1:5" x14ac:dyDescent="0.3">
      <c r="A61" s="47">
        <v>45684</v>
      </c>
      <c r="B61" s="49">
        <v>9.2415931314094918E-4</v>
      </c>
      <c r="C61" s="49">
        <v>5.1939513477975013E-3</v>
      </c>
      <c r="D61" s="49">
        <v>3.685623501752981E-3</v>
      </c>
      <c r="E61" s="49">
        <v>3.2679113875638106E-3</v>
      </c>
    </row>
    <row r="62" spans="1:5" x14ac:dyDescent="0.3">
      <c r="A62" s="47">
        <v>45691</v>
      </c>
      <c r="B62" s="49">
        <v>2.3334666742861497E-3</v>
      </c>
      <c r="C62" s="49">
        <v>6.8852027382833069E-3</v>
      </c>
      <c r="D62" s="49">
        <v>1.1697559866836308E-3</v>
      </c>
      <c r="E62" s="49">
        <v>3.4628084664176956E-3</v>
      </c>
    </row>
    <row r="63" spans="1:5" x14ac:dyDescent="0.3">
      <c r="A63" s="47">
        <v>45698</v>
      </c>
      <c r="B63" s="49">
        <v>3.0798747854185599E-3</v>
      </c>
      <c r="C63" s="49">
        <v>1.2038244241634072E-2</v>
      </c>
      <c r="D63" s="49">
        <v>1.9357425118836263E-3</v>
      </c>
      <c r="E63" s="49">
        <v>5.684620512978752E-3</v>
      </c>
    </row>
    <row r="64" spans="1:5" x14ac:dyDescent="0.3">
      <c r="A64" s="47">
        <v>45705</v>
      </c>
      <c r="B64" s="49">
        <v>4.0817246978170664E-3</v>
      </c>
      <c r="C64" s="49">
        <v>2.3280135960016494E-3</v>
      </c>
      <c r="D64" s="49">
        <v>1.0583174536168594E-3</v>
      </c>
      <c r="E64" s="49">
        <v>2.4893519158118581E-3</v>
      </c>
    </row>
    <row r="65" spans="1:5" x14ac:dyDescent="0.3">
      <c r="A65" s="47">
        <v>45712</v>
      </c>
      <c r="B65" s="49">
        <v>1.0896826083196401E-3</v>
      </c>
      <c r="C65" s="49">
        <v>3.7818873758696555E-3</v>
      </c>
      <c r="D65" s="49">
        <v>1.8949662755644234E-3</v>
      </c>
      <c r="E65" s="49">
        <v>2.2555120865845727E-3</v>
      </c>
    </row>
    <row r="66" spans="1:5" x14ac:dyDescent="0.3">
      <c r="A66" s="47">
        <v>45719</v>
      </c>
      <c r="B66" s="49">
        <v>1.0984575217286749E-2</v>
      </c>
      <c r="C66" s="49">
        <v>7.8900723125911749E-3</v>
      </c>
      <c r="D66" s="49">
        <v>1.7409229805475531E-3</v>
      </c>
      <c r="E66" s="49">
        <v>6.8718568368084923E-3</v>
      </c>
    </row>
    <row r="67" spans="1:5" x14ac:dyDescent="0.3">
      <c r="A67" s="47">
        <v>45726</v>
      </c>
      <c r="B67" s="49">
        <v>1.8468941678809856E-3</v>
      </c>
      <c r="C67" s="49">
        <v>5.1540047386073422E-3</v>
      </c>
      <c r="D67" s="49">
        <v>2.2450476889214967E-3</v>
      </c>
      <c r="E67" s="49">
        <v>3.081982198469941E-3</v>
      </c>
    </row>
    <row r="68" spans="1:5" x14ac:dyDescent="0.3">
      <c r="A68" s="47">
        <v>45733</v>
      </c>
      <c r="B68" s="49">
        <v>1.9052058737091724E-3</v>
      </c>
      <c r="C68" s="49">
        <v>1.4348198375413667E-3</v>
      </c>
      <c r="D68" s="49">
        <v>4.2810298761233904E-3</v>
      </c>
      <c r="E68" s="49">
        <v>2.5403518624579767E-3</v>
      </c>
    </row>
    <row r="69" spans="1:5" x14ac:dyDescent="0.3">
      <c r="A69" s="47">
        <v>45740</v>
      </c>
      <c r="B69" s="49">
        <v>3.0555240088474996E-3</v>
      </c>
      <c r="C69" s="49">
        <v>6.5302778380201933E-3</v>
      </c>
      <c r="D69" s="49">
        <v>3.2720751898231166E-3</v>
      </c>
      <c r="E69" s="49">
        <v>4.2859590122302695E-3</v>
      </c>
    </row>
    <row r="70" spans="1:5" x14ac:dyDescent="0.3">
      <c r="A70" s="47">
        <v>45747</v>
      </c>
      <c r="B70" s="49">
        <v>3.1475371965261584E-3</v>
      </c>
      <c r="C70" s="49">
        <v>9.0792625187990864E-3</v>
      </c>
      <c r="D70" s="49">
        <v>6.7594964249334932E-3</v>
      </c>
      <c r="E70" s="49">
        <v>6.3287653800862464E-3</v>
      </c>
    </row>
    <row r="71" spans="1:5" x14ac:dyDescent="0.3">
      <c r="A71" s="47">
        <v>45754</v>
      </c>
      <c r="B71" s="49">
        <v>3.9209705941868752E-3</v>
      </c>
      <c r="C71" s="49">
        <v>2.9814935695005556E-3</v>
      </c>
      <c r="D71" s="49">
        <v>3.6902252215116576E-3</v>
      </c>
      <c r="E71" s="49">
        <v>3.5308964617330294E-3</v>
      </c>
    </row>
    <row r="72" spans="1:5" x14ac:dyDescent="0.3">
      <c r="A72" s="47">
        <v>45761</v>
      </c>
      <c r="B72" s="49">
        <v>1.9961869935398759E-3</v>
      </c>
      <c r="C72" s="49">
        <v>6.2397756485160086E-3</v>
      </c>
      <c r="D72" s="49">
        <v>4.6142223427541986E-3</v>
      </c>
      <c r="E72" s="49">
        <v>4.2833949949366941E-3</v>
      </c>
    </row>
    <row r="73" spans="1:5" x14ac:dyDescent="0.3">
      <c r="A73" s="47">
        <v>45768</v>
      </c>
      <c r="B73" s="49">
        <v>1.0988053215795403E-3</v>
      </c>
      <c r="C73" s="49">
        <v>1.4351099955706482E-3</v>
      </c>
      <c r="D73" s="49">
        <v>3.2565414723670183E-3</v>
      </c>
      <c r="E73" s="49">
        <v>1.9301522631724021E-3</v>
      </c>
    </row>
    <row r="74" spans="1:5" x14ac:dyDescent="0.3">
      <c r="A74" s="47">
        <v>45775</v>
      </c>
      <c r="B74" s="49">
        <v>3.7778051067623862E-3</v>
      </c>
      <c r="C74" s="49">
        <v>2.0509887813384732E-3</v>
      </c>
      <c r="D74" s="49">
        <v>2.9339148299662998E-3</v>
      </c>
      <c r="E74" s="49">
        <v>2.9209029060223864E-3</v>
      </c>
    </row>
    <row r="75" spans="1:5" x14ac:dyDescent="0.3">
      <c r="A75" s="47">
        <v>45782</v>
      </c>
      <c r="B75" s="49">
        <v>2.5976522198761379E-3</v>
      </c>
      <c r="C75" s="49">
        <v>2.5507605115104954E-3</v>
      </c>
      <c r="D75" s="49">
        <v>1.9790880672631238E-3</v>
      </c>
      <c r="E75" s="49">
        <v>2.3758335995499192E-3</v>
      </c>
    </row>
    <row r="76" spans="1:5" x14ac:dyDescent="0.3">
      <c r="A76" s="47">
        <v>45789</v>
      </c>
      <c r="B76" s="49">
        <v>1.5731300645365684E-3</v>
      </c>
      <c r="C76" s="49">
        <v>2.6547884187082403E-3</v>
      </c>
      <c r="D76" s="49">
        <v>1.4915157677349929E-3</v>
      </c>
      <c r="E76" s="49">
        <v>1.9064780836599339E-3</v>
      </c>
    </row>
    <row r="77" spans="1:5" x14ac:dyDescent="0.3">
      <c r="A77" s="47">
        <v>45796</v>
      </c>
      <c r="B77" s="49">
        <v>7.872087032172511E-3</v>
      </c>
      <c r="C77" s="49">
        <v>4.1466368206671319E-3</v>
      </c>
      <c r="D77" s="49">
        <v>7.5491490264485411E-3</v>
      </c>
      <c r="E77" s="49">
        <v>6.5226242930960616E-3</v>
      </c>
    </row>
    <row r="78" spans="1:5" x14ac:dyDescent="0.3">
      <c r="A78" s="47">
        <v>45803</v>
      </c>
      <c r="B78" s="49">
        <v>3.8281206906062111E-3</v>
      </c>
      <c r="C78" s="49">
        <v>3.7470607409939207E-3</v>
      </c>
      <c r="D78" s="49">
        <v>2.005770990217468E-3</v>
      </c>
      <c r="E78" s="49">
        <v>3.1936508072725332E-3</v>
      </c>
    </row>
    <row r="79" spans="1:5" x14ac:dyDescent="0.3">
      <c r="A79" s="47">
        <v>45810</v>
      </c>
      <c r="B79" s="49">
        <v>1.2413909189098204E-3</v>
      </c>
      <c r="C79" s="49">
        <v>9.6542972769051369E-3</v>
      </c>
      <c r="D79" s="49">
        <v>4.9181461441388493E-3</v>
      </c>
      <c r="E79" s="49">
        <v>5.2712781133179357E-3</v>
      </c>
    </row>
    <row r="80" spans="1:5" x14ac:dyDescent="0.3">
      <c r="A80" s="47">
        <v>45817</v>
      </c>
      <c r="B80" s="49">
        <v>1.1327664328719508E-2</v>
      </c>
      <c r="C80" s="49">
        <v>1.5942232850377457E-3</v>
      </c>
      <c r="D80" s="49">
        <v>4.1211031333606603E-3</v>
      </c>
      <c r="E80" s="49">
        <v>5.6809969157059709E-3</v>
      </c>
    </row>
    <row r="81" spans="1:5" x14ac:dyDescent="0.3">
      <c r="A81" s="47">
        <v>45824</v>
      </c>
      <c r="B81" s="49">
        <v>2.4617598408673293E-3</v>
      </c>
      <c r="C81" s="49">
        <v>5.1721119722456512E-3</v>
      </c>
      <c r="D81" s="49">
        <v>5.4388566363352828E-3</v>
      </c>
      <c r="E81" s="49">
        <v>4.3575761498160876E-3</v>
      </c>
    </row>
    <row r="82" spans="1:5" x14ac:dyDescent="0.3">
      <c r="A82" s="47">
        <v>45831</v>
      </c>
      <c r="B82" s="49">
        <v>1.1452908859898713E-3</v>
      </c>
      <c r="C82" s="49">
        <v>2.1127444317144686E-3</v>
      </c>
      <c r="D82" s="49">
        <v>3.3553365983339462E-3</v>
      </c>
      <c r="E82" s="49">
        <v>2.2044573053460951E-3</v>
      </c>
    </row>
    <row r="83" spans="1:5" x14ac:dyDescent="0.3">
      <c r="A83" s="47">
        <v>45838</v>
      </c>
      <c r="B83" s="49">
        <v>2.2401847575057735E-3</v>
      </c>
      <c r="C83" s="49">
        <v>1.208595326242385E-2</v>
      </c>
      <c r="D83" s="49">
        <v>6.4765009508285796E-3</v>
      </c>
      <c r="E83" s="49">
        <v>6.9342129902527335E-3</v>
      </c>
    </row>
    <row r="84" spans="1:5" x14ac:dyDescent="0.3">
      <c r="A84" s="47">
        <v>45845</v>
      </c>
      <c r="B84" s="49">
        <v>3.3512794144334888E-3</v>
      </c>
      <c r="C84" s="49">
        <v>2.6668250067122413E-3</v>
      </c>
      <c r="D84" s="49">
        <v>3.1694785125105812E-3</v>
      </c>
      <c r="E84" s="49">
        <v>3.0625276445521037E-3</v>
      </c>
    </row>
    <row r="85" spans="1:5" x14ac:dyDescent="0.3">
      <c r="A85" s="47">
        <v>45852</v>
      </c>
      <c r="B85" s="49">
        <v>9.827213822894169E-3</v>
      </c>
      <c r="C85" s="49">
        <v>1.5181988769584942E-3</v>
      </c>
      <c r="D85" s="49">
        <v>2.6388003437092886E-3</v>
      </c>
      <c r="E85" s="49">
        <v>4.6614043478539835E-3</v>
      </c>
    </row>
    <row r="86" spans="1:5" x14ac:dyDescent="0.3">
      <c r="A86" s="47">
        <v>45859</v>
      </c>
      <c r="B86" s="49">
        <v>7.4721268454424738E-3</v>
      </c>
      <c r="C86" s="49">
        <v>3.1852844079273504E-3</v>
      </c>
      <c r="D86" s="49">
        <v>3.2454858113287115E-3</v>
      </c>
      <c r="E86" s="49">
        <v>4.6342990215661782E-3</v>
      </c>
    </row>
    <row r="87" spans="1:5" x14ac:dyDescent="0.3">
      <c r="A87" s="47">
        <v>45866</v>
      </c>
      <c r="B87" s="49">
        <v>4.669318378338316E-3</v>
      </c>
      <c r="C87" s="49">
        <v>1.0981480529715098E-2</v>
      </c>
      <c r="D87" s="49">
        <v>1.7084647221127316E-2</v>
      </c>
      <c r="E87" s="49">
        <v>1.0911815376393576E-2</v>
      </c>
    </row>
    <row r="88" spans="1:5" x14ac:dyDescent="0.3">
      <c r="A88" s="47">
        <v>45873</v>
      </c>
      <c r="B88" s="49">
        <v>7.6555792759910937E-3</v>
      </c>
      <c r="C88" s="49">
        <v>1.8650998332996943E-3</v>
      </c>
      <c r="D88" s="49">
        <v>3.9299078763469142E-3</v>
      </c>
      <c r="E88" s="49">
        <v>4.4835289952125683E-3</v>
      </c>
    </row>
    <row r="89" spans="1:5" x14ac:dyDescent="0.3">
      <c r="A89" s="47">
        <v>45880</v>
      </c>
      <c r="B89" s="49">
        <v>2.6309839468870114E-3</v>
      </c>
      <c r="C89" s="49">
        <v>6.0271996703070265E-3</v>
      </c>
      <c r="D89" s="49">
        <v>6.6042394102916796E-3</v>
      </c>
      <c r="E89" s="49">
        <v>5.0874743424952395E-3</v>
      </c>
    </row>
    <row r="90" spans="1:5" x14ac:dyDescent="0.3">
      <c r="A90" s="47">
        <v>45887</v>
      </c>
      <c r="B90" s="49">
        <v>2.1136549728017671E-3</v>
      </c>
      <c r="C90" s="49">
        <v>1.823480339105339E-3</v>
      </c>
      <c r="D90" s="49">
        <v>5.5270456327116777E-3</v>
      </c>
      <c r="E90" s="49">
        <v>3.1547269815395945E-3</v>
      </c>
    </row>
    <row r="91" spans="1:5" x14ac:dyDescent="0.3">
      <c r="A91" s="47">
        <v>45894</v>
      </c>
      <c r="B91" s="49">
        <v>6.6754281661347186E-3</v>
      </c>
      <c r="C91" s="49">
        <v>3.9399561477483558E-3</v>
      </c>
      <c r="D91" s="49">
        <v>3.5959985838152297E-3</v>
      </c>
      <c r="E91" s="49">
        <v>4.7371276325661018E-3</v>
      </c>
    </row>
    <row r="92" spans="1:5" x14ac:dyDescent="0.3">
      <c r="A92" s="47">
        <v>45901</v>
      </c>
      <c r="B92" s="49">
        <v>3.1996007837554212E-3</v>
      </c>
      <c r="C92" s="49">
        <v>3.6710630280192063E-3</v>
      </c>
      <c r="D92" s="49">
        <v>7.9729048800556194E-4</v>
      </c>
      <c r="E92" s="49">
        <v>2.5559847665933967E-3</v>
      </c>
    </row>
    <row r="93" spans="1:5" x14ac:dyDescent="0.3">
      <c r="A93" s="47">
        <v>45908</v>
      </c>
      <c r="B93" s="49">
        <v>9.1194199159233963E-3</v>
      </c>
      <c r="C93" s="49">
        <v>1.7666324429429343E-3</v>
      </c>
      <c r="D93" s="49"/>
      <c r="E93" s="49">
        <v>5.4430261794331655E-3</v>
      </c>
    </row>
    <row r="94" spans="1:5" x14ac:dyDescent="0.3">
      <c r="A94" s="47" t="s">
        <v>346</v>
      </c>
      <c r="B94" s="49">
        <v>4.3506104359793425E-3</v>
      </c>
      <c r="C94" s="49">
        <v>4.6999264757296667E-3</v>
      </c>
      <c r="D94" s="49">
        <v>3.9495607574575953E-3</v>
      </c>
      <c r="E94" s="49">
        <v>4.3352849153835225E-3</v>
      </c>
    </row>
    <row r="103" spans="1:3" ht="18" x14ac:dyDescent="0.35">
      <c r="A103" s="139" t="s">
        <v>393</v>
      </c>
      <c r="B103" s="139"/>
      <c r="C103" s="139"/>
    </row>
    <row r="104" spans="1:3" x14ac:dyDescent="0.3">
      <c r="A104" s="60" t="s">
        <v>1</v>
      </c>
      <c r="B104" s="56" t="s">
        <v>358</v>
      </c>
      <c r="C104" s="56" t="s">
        <v>352</v>
      </c>
    </row>
    <row r="105" spans="1:3" x14ac:dyDescent="0.3">
      <c r="A105" s="61" t="s">
        <v>13</v>
      </c>
      <c r="B105" s="92">
        <v>1035942</v>
      </c>
      <c r="C105" s="57">
        <v>6.4582089552238831</v>
      </c>
    </row>
    <row r="106" spans="1:3" x14ac:dyDescent="0.3">
      <c r="A106" s="61" t="s">
        <v>22</v>
      </c>
      <c r="B106" s="92">
        <v>1114204</v>
      </c>
      <c r="C106" s="57">
        <v>6.8856716417910446</v>
      </c>
    </row>
    <row r="107" spans="1:3" x14ac:dyDescent="0.3">
      <c r="A107" s="61" t="s">
        <v>28</v>
      </c>
      <c r="B107" s="92">
        <v>1065782</v>
      </c>
      <c r="C107" s="57">
        <v>6.7189393939393929</v>
      </c>
    </row>
    <row r="108" spans="1:3" x14ac:dyDescent="0.3">
      <c r="A108" s="61" t="s">
        <v>346</v>
      </c>
      <c r="B108" s="92">
        <v>3215928</v>
      </c>
      <c r="C108" s="57">
        <v>6.6874499999999975</v>
      </c>
    </row>
  </sheetData>
  <mergeCells count="3">
    <mergeCell ref="A1:B1"/>
    <mergeCell ref="A103:C103"/>
    <mergeCell ref="A24:E24"/>
  </mergeCells>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E3583-EA3D-499A-B26F-97ABFCBD8E52}">
  <sheetPr codeName="Sheet5"/>
  <dimension ref="A3:E33"/>
  <sheetViews>
    <sheetView topLeftCell="A49" workbookViewId="0">
      <selection activeCell="A5" sqref="A5:C5"/>
    </sheetView>
  </sheetViews>
  <sheetFormatPr defaultRowHeight="14.4" x14ac:dyDescent="0.3"/>
  <cols>
    <col min="1" max="1" width="16.77734375" bestFit="1" customWidth="1"/>
    <col min="2" max="2" width="19" bestFit="1" customWidth="1"/>
    <col min="3" max="3" width="24.33203125" bestFit="1" customWidth="1"/>
    <col min="4" max="4" width="8" bestFit="1" customWidth="1"/>
    <col min="5" max="5" width="10.5546875" bestFit="1" customWidth="1"/>
  </cols>
  <sheetData>
    <row r="3" spans="1:3" ht="18" x14ac:dyDescent="0.35">
      <c r="A3" s="135" t="s">
        <v>364</v>
      </c>
      <c r="B3" s="137"/>
      <c r="C3" s="137"/>
    </row>
    <row r="4" spans="1:3" x14ac:dyDescent="0.3">
      <c r="A4" s="60" t="s">
        <v>354</v>
      </c>
      <c r="B4" s="56" t="s">
        <v>362</v>
      </c>
      <c r="C4" s="56" t="s">
        <v>363</v>
      </c>
    </row>
    <row r="5" spans="1:3" x14ac:dyDescent="0.3">
      <c r="A5" s="61" t="s">
        <v>37</v>
      </c>
      <c r="B5" s="56">
        <v>143</v>
      </c>
      <c r="C5" s="82">
        <v>9.8567431094720465E-2</v>
      </c>
    </row>
    <row r="6" spans="1:3" x14ac:dyDescent="0.3">
      <c r="A6" s="61" t="s">
        <v>19</v>
      </c>
      <c r="B6" s="56">
        <v>130</v>
      </c>
      <c r="C6" s="82">
        <v>8.760663345122878E-2</v>
      </c>
    </row>
    <row r="7" spans="1:3" x14ac:dyDescent="0.3">
      <c r="A7" s="61" t="s">
        <v>40</v>
      </c>
      <c r="B7" s="56">
        <v>109</v>
      </c>
      <c r="C7" s="82">
        <v>9.4448669905002475E-2</v>
      </c>
    </row>
    <row r="8" spans="1:3" x14ac:dyDescent="0.3">
      <c r="A8" s="61" t="s">
        <v>337</v>
      </c>
      <c r="B8" s="56">
        <v>67</v>
      </c>
      <c r="C8" s="82">
        <v>8.9057449367429223E-2</v>
      </c>
    </row>
    <row r="9" spans="1:3" x14ac:dyDescent="0.3">
      <c r="A9" s="61" t="s">
        <v>338</v>
      </c>
      <c r="B9" s="56">
        <v>34</v>
      </c>
      <c r="C9" s="82">
        <v>8.6403291293675744E-2</v>
      </c>
    </row>
    <row r="10" spans="1:3" x14ac:dyDescent="0.3">
      <c r="A10" s="61" t="s">
        <v>346</v>
      </c>
      <c r="B10" s="56">
        <v>483</v>
      </c>
      <c r="C10" s="82">
        <v>9.2512362373608284E-2</v>
      </c>
    </row>
    <row r="27" spans="1:5" ht="18" x14ac:dyDescent="0.35">
      <c r="A27" s="135" t="s">
        <v>365</v>
      </c>
      <c r="B27" s="135"/>
      <c r="C27" s="135"/>
      <c r="D27" s="135"/>
      <c r="E27" s="135"/>
    </row>
    <row r="28" spans="1:5" x14ac:dyDescent="0.3">
      <c r="A28" s="7" t="s">
        <v>363</v>
      </c>
      <c r="B28" s="7" t="s">
        <v>1</v>
      </c>
    </row>
    <row r="29" spans="1:5" x14ac:dyDescent="0.3">
      <c r="A29" s="63" t="s">
        <v>3</v>
      </c>
      <c r="B29" s="62" t="s">
        <v>13</v>
      </c>
      <c r="C29" s="62" t="s">
        <v>22</v>
      </c>
      <c r="D29" s="62" t="s">
        <v>28</v>
      </c>
      <c r="E29" s="62" t="s">
        <v>346</v>
      </c>
    </row>
    <row r="30" spans="1:5" x14ac:dyDescent="0.3">
      <c r="A30" s="64" t="s">
        <v>52</v>
      </c>
      <c r="B30" s="90"/>
      <c r="C30" s="90"/>
      <c r="D30" s="90">
        <v>9.010688153503349E-2</v>
      </c>
      <c r="E30" s="90">
        <v>9.010688153503349E-2</v>
      </c>
    </row>
    <row r="31" spans="1:5" x14ac:dyDescent="0.3">
      <c r="A31" s="64" t="s">
        <v>23</v>
      </c>
      <c r="B31" s="90">
        <v>9.5509123528654066E-2</v>
      </c>
      <c r="C31" s="90">
        <v>9.6350204330797537E-2</v>
      </c>
      <c r="D31" s="90"/>
      <c r="E31" s="90">
        <v>9.6174341981258432E-2</v>
      </c>
    </row>
    <row r="32" spans="1:5" x14ac:dyDescent="0.3">
      <c r="A32" s="64" t="s">
        <v>14</v>
      </c>
      <c r="B32" s="90">
        <v>8.9151970703401293E-2</v>
      </c>
      <c r="C32" s="90">
        <v>9.5584491232904453E-2</v>
      </c>
      <c r="D32" s="90">
        <v>8.640329129367573E-2</v>
      </c>
      <c r="E32" s="90">
        <v>9.1008670407556724E-2</v>
      </c>
    </row>
    <row r="33" spans="1:5" x14ac:dyDescent="0.3">
      <c r="A33" s="89" t="s">
        <v>346</v>
      </c>
      <c r="B33" s="91">
        <v>9.0794830422286865E-2</v>
      </c>
      <c r="C33" s="91">
        <v>9.6034606364774039E-2</v>
      </c>
      <c r="D33" s="91">
        <v>8.810811854763409E-2</v>
      </c>
      <c r="E33" s="91">
        <v>9.281557706023677E-2</v>
      </c>
    </row>
  </sheetData>
  <mergeCells count="2">
    <mergeCell ref="A3:C3"/>
    <mergeCell ref="A27:E27"/>
  </mergeCell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DA1E7-F524-452D-85C4-2C03C8148EF0}">
  <dimension ref="A1:J104"/>
  <sheetViews>
    <sheetView topLeftCell="A83" zoomScale="112" workbookViewId="0">
      <selection activeCell="C93" sqref="C93"/>
    </sheetView>
  </sheetViews>
  <sheetFormatPr defaultRowHeight="14.4" x14ac:dyDescent="0.3"/>
  <cols>
    <col min="1" max="1" width="17.6640625" bestFit="1" customWidth="1"/>
    <col min="2" max="2" width="11.77734375" bestFit="1" customWidth="1"/>
    <col min="3" max="3" width="17" bestFit="1" customWidth="1"/>
    <col min="4" max="4" width="20.21875" bestFit="1" customWidth="1"/>
    <col min="5" max="5" width="20.33203125" bestFit="1" customWidth="1"/>
    <col min="6" max="6" width="17" bestFit="1" customWidth="1"/>
    <col min="7" max="7" width="15.109375" bestFit="1" customWidth="1"/>
    <col min="8" max="8" width="24.33203125" bestFit="1" customWidth="1"/>
    <col min="9" max="9" width="21" bestFit="1" customWidth="1"/>
  </cols>
  <sheetData>
    <row r="1" spans="1:9" ht="15.6" x14ac:dyDescent="0.3">
      <c r="A1" s="131" t="s">
        <v>381</v>
      </c>
      <c r="B1" s="131"/>
      <c r="C1" s="131"/>
      <c r="D1" s="131"/>
      <c r="E1" s="131"/>
      <c r="F1" s="131"/>
      <c r="G1" s="131"/>
      <c r="H1" s="131"/>
      <c r="I1" s="131"/>
    </row>
    <row r="2" spans="1:9" x14ac:dyDescent="0.3">
      <c r="A2" s="118" t="s">
        <v>11</v>
      </c>
      <c r="B2" s="119" t="s">
        <v>366</v>
      </c>
      <c r="C2" s="119" t="s">
        <v>367</v>
      </c>
      <c r="D2" s="129" t="s">
        <v>379</v>
      </c>
      <c r="E2" s="129" t="s">
        <v>411</v>
      </c>
      <c r="F2" s="129" t="s">
        <v>347</v>
      </c>
      <c r="G2" s="129" t="s">
        <v>412</v>
      </c>
      <c r="H2" s="129" t="s">
        <v>380</v>
      </c>
      <c r="I2" s="129" t="s">
        <v>413</v>
      </c>
    </row>
    <row r="3" spans="1:9" x14ac:dyDescent="0.3">
      <c r="A3" s="121" t="s">
        <v>16</v>
      </c>
      <c r="B3" s="122">
        <v>45667</v>
      </c>
      <c r="C3" s="122">
        <v>45698</v>
      </c>
      <c r="D3" s="57">
        <f>SUMIFS(Posts!I:I, Posts!N:N, A3, Posts!C:C, "&gt;="&amp;B3, Posts!C:C, "&lt;="&amp;C3)</f>
        <v>378559</v>
      </c>
      <c r="E3" s="57">
        <f>AVERAGEIFS(Posts!I:I, Posts!N:N, A3, Posts!C:C, "&gt;="&amp;B3, Posts!C:C, "&lt;="&amp;C3)</f>
        <v>34414.454545454544</v>
      </c>
      <c r="F3" s="57">
        <f>SUMIFS(Posts!F:F, Posts!N:N, A3, Posts!C:C, "&gt;="&amp;B3, Posts!C:C, "&lt;="&amp;C3)</f>
        <v>34980</v>
      </c>
      <c r="G3" s="57">
        <f>AVERAGEIFS(Posts!F:F, Posts!N:N, A3, Posts!C:C, "&gt;="&amp;B3, Posts!C:C, "&lt;="&amp;C3)</f>
        <v>3180</v>
      </c>
      <c r="H3" s="57">
        <f>SUMIFS(Posts!K:K, Posts!N:N, A3, Posts!C:C, "&gt;="&amp;B3, Posts!C:C, "&lt;="&amp;C3)</f>
        <v>2232</v>
      </c>
      <c r="I3" s="57">
        <f>AVERAGEIFS(Posts!K:K, Posts!N:N, A3, Posts!C:C, "&gt;="&amp;B3, Posts!C:C, "&lt;="&amp;C3)</f>
        <v>202.90909090909091</v>
      </c>
    </row>
    <row r="4" spans="1:9" x14ac:dyDescent="0.3">
      <c r="A4" s="123" t="s">
        <v>20</v>
      </c>
      <c r="B4" s="124">
        <v>45717</v>
      </c>
      <c r="C4" s="124">
        <v>45747</v>
      </c>
      <c r="D4" s="57">
        <f>SUMIFS(Posts!I:I, Posts!N:N, A4, Posts!C:C, "&gt;="&amp;B4, Posts!C:C, "&lt;="&amp;C4)</f>
        <v>262944</v>
      </c>
      <c r="E4" s="57">
        <f>AVERAGEIFS(Posts!I:I, Posts!N:N, A4, Posts!C:C, "&gt;="&amp;B4, Posts!C:C, "&lt;="&amp;C4)</f>
        <v>43824</v>
      </c>
      <c r="F4" s="57">
        <f>SUMIFS(Posts!F:F, Posts!N:N, A4, Posts!C:C, "&gt;="&amp;B4, Posts!C:C, "&lt;="&amp;C4)</f>
        <v>23692</v>
      </c>
      <c r="G4" s="57">
        <f>AVERAGEIFS(Posts!F:F, Posts!N:N, A4, Posts!C:C, "&gt;="&amp;B4, Posts!C:C, "&lt;="&amp;C4)</f>
        <v>3948.6666666666665</v>
      </c>
      <c r="H4" s="57">
        <f>SUMIFS(Posts!K:K, Posts!N:N, A4, Posts!C:C, "&gt;="&amp;B4, Posts!C:C, "&lt;="&amp;C4)</f>
        <v>1370</v>
      </c>
      <c r="I4" s="57">
        <f>AVERAGEIFS(Posts!K:K, Posts!N:N, A4, Posts!C:C, "&gt;="&amp;B4, Posts!C:C, "&lt;="&amp;C4)</f>
        <v>228.33333333333334</v>
      </c>
    </row>
    <row r="5" spans="1:9" x14ac:dyDescent="0.3">
      <c r="A5" s="121" t="s">
        <v>53</v>
      </c>
      <c r="B5" s="122">
        <v>45458</v>
      </c>
      <c r="C5" s="122">
        <v>45488</v>
      </c>
      <c r="D5" s="57">
        <f>SUMIFS(Posts!I:I, Posts!N:N, A5, Posts!C:C, "&gt;="&amp;B5, Posts!C:C, "&lt;="&amp;C5)</f>
        <v>88805</v>
      </c>
      <c r="E5" s="57">
        <f>AVERAGEIFS(Posts!I:I, Posts!N:N, A5, Posts!C:C, "&gt;="&amp;B5, Posts!C:C, "&lt;="&amp;C5)</f>
        <v>44402.5</v>
      </c>
      <c r="F5" s="57">
        <f>SUMIFS(Posts!F:F, Posts!N:N, A5, Posts!C:C, "&gt;="&amp;B5, Posts!C:C, "&lt;="&amp;C5)</f>
        <v>6372</v>
      </c>
      <c r="G5" s="57">
        <f>AVERAGEIFS(Posts!F:F, Posts!N:N, A5, Posts!C:C, "&gt;="&amp;B5, Posts!C:C, "&lt;="&amp;C5)</f>
        <v>3186</v>
      </c>
      <c r="H5" s="57">
        <f>SUMIFS(Posts!K:K, Posts!N:N, A5, Posts!C:C, "&gt;="&amp;B5, Posts!C:C, "&lt;="&amp;C5)</f>
        <v>300</v>
      </c>
      <c r="I5" s="57">
        <f>AVERAGEIFS(Posts!K:K, Posts!N:N, A5, Posts!C:C, "&gt;="&amp;B5, Posts!C:C, "&lt;="&amp;C5)</f>
        <v>150</v>
      </c>
    </row>
    <row r="6" spans="1:9" x14ac:dyDescent="0.3">
      <c r="A6" s="123" t="s">
        <v>50</v>
      </c>
      <c r="B6" s="124">
        <v>45627</v>
      </c>
      <c r="C6" s="124">
        <v>45657</v>
      </c>
      <c r="D6" s="57">
        <f>SUMIFS(Posts!I:I, Posts!N:N, A6, Posts!C:C, "&gt;="&amp;B6, Posts!C:C, "&lt;="&amp;C6)</f>
        <v>103517</v>
      </c>
      <c r="E6" s="57">
        <f>AVERAGEIFS(Posts!I:I, Posts!N:N, A6, Posts!C:C, "&gt;="&amp;B6, Posts!C:C, "&lt;="&amp;C6)</f>
        <v>51758.5</v>
      </c>
      <c r="F6" s="57">
        <f>SUMIFS(Posts!F:F, Posts!N:N, A6, Posts!C:C, "&gt;="&amp;B6, Posts!C:C, "&lt;="&amp;C6)</f>
        <v>8375</v>
      </c>
      <c r="G6" s="57">
        <f>AVERAGEIFS(Posts!F:F, Posts!N:N, A6, Posts!C:C, "&gt;="&amp;B6, Posts!C:C, "&lt;="&amp;C6)</f>
        <v>4187.5</v>
      </c>
      <c r="H6" s="57">
        <f>SUMIFS(Posts!K:K, Posts!N:N, A6, Posts!C:C, "&gt;="&amp;B6, Posts!C:C, "&lt;="&amp;C6)</f>
        <v>253</v>
      </c>
      <c r="I6" s="57">
        <f>AVERAGEIFS(Posts!K:K, Posts!N:N, A6, Posts!C:C, "&gt;="&amp;B6, Posts!C:C, "&lt;="&amp;C6)</f>
        <v>126.5</v>
      </c>
    </row>
    <row r="41" spans="1:6" ht="15.6" x14ac:dyDescent="0.3">
      <c r="A41" s="134" t="s">
        <v>400</v>
      </c>
      <c r="B41" s="134"/>
      <c r="C41" s="134"/>
      <c r="D41" s="134"/>
      <c r="E41" s="134"/>
      <c r="F41" s="134"/>
    </row>
    <row r="42" spans="1:6" x14ac:dyDescent="0.3">
      <c r="A42" s="118" t="s">
        <v>11</v>
      </c>
      <c r="B42" s="119" t="s">
        <v>366</v>
      </c>
      <c r="C42" s="119" t="s">
        <v>367</v>
      </c>
      <c r="D42" s="125" t="s">
        <v>401</v>
      </c>
      <c r="E42" s="125" t="s">
        <v>402</v>
      </c>
      <c r="F42" s="120" t="s">
        <v>399</v>
      </c>
    </row>
    <row r="43" spans="1:6" x14ac:dyDescent="0.3">
      <c r="A43" s="121" t="s">
        <v>16</v>
      </c>
      <c r="B43" s="122">
        <v>45667</v>
      </c>
      <c r="C43" s="122">
        <v>45698</v>
      </c>
      <c r="D43" s="126">
        <f>AVERAGEIFS(Posts!O:O,Posts!N:N, A43, Posts!C:C, "&gt;="&amp;B43, Posts!C:C, "&lt;="&amp;C43)</f>
        <v>0.12086180294512508</v>
      </c>
      <c r="E43" s="126">
        <f>AVERAGEIFS(Posts!O:O, Posts!N:N, A43, Posts!C:C, "&gt;="&amp;B43-30,Posts!C:C, "&lt;"&amp;B43)</f>
        <v>0.11129033458496362</v>
      </c>
      <c r="F43" s="82">
        <f>(D43-E43)/E43</f>
        <v>8.6004489031832346E-2</v>
      </c>
    </row>
    <row r="44" spans="1:6" x14ac:dyDescent="0.3">
      <c r="A44" s="123" t="s">
        <v>20</v>
      </c>
      <c r="B44" s="124">
        <v>45717</v>
      </c>
      <c r="C44" s="124">
        <v>45747</v>
      </c>
      <c r="D44" s="126">
        <f>AVERAGEIFS(Posts!O:O,Posts!N:N, A44, Posts!C:C, "&gt;="&amp;B44, Posts!C:C, "&lt;="&amp;C44)</f>
        <v>0.11095871200554182</v>
      </c>
      <c r="E44" s="126">
        <f>AVERAGEIFS(Posts!O:O, Posts!N:N, A44, Posts!C:C, "&gt;="&amp;B44-30,Posts!C:C, "&lt;"&amp;B44)</f>
        <v>8.7095334546328396E-2</v>
      </c>
      <c r="F44" s="82">
        <f t="shared" ref="F44:F46" si="0">(D44-E44)/E44</f>
        <v>0.27399145526583674</v>
      </c>
    </row>
    <row r="45" spans="1:6" x14ac:dyDescent="0.3">
      <c r="A45" s="121" t="s">
        <v>53</v>
      </c>
      <c r="B45" s="122">
        <v>45458</v>
      </c>
      <c r="C45" s="122">
        <v>45488</v>
      </c>
      <c r="D45" s="126">
        <f>AVERAGEIFS(Posts!O:O,Posts!N:N, A45, Posts!C:C, "&gt;="&amp;B45, Posts!C:C, "&lt;="&amp;C45)</f>
        <v>7.8574756612039942E-2</v>
      </c>
      <c r="E45" s="126">
        <f>AVERAGEIFS(Posts!O:O, Posts!N:N, A45, Posts!C:C, "&gt;="&amp;B45-30,Posts!C:C, "&lt;"&amp;B45)</f>
        <v>9.2378671204187912E-2</v>
      </c>
      <c r="F45" s="82">
        <f t="shared" si="0"/>
        <v>-0.14942750758599546</v>
      </c>
    </row>
    <row r="46" spans="1:6" x14ac:dyDescent="0.3">
      <c r="A46" s="123" t="s">
        <v>50</v>
      </c>
      <c r="B46" s="124">
        <v>45627</v>
      </c>
      <c r="C46" s="124">
        <v>45657</v>
      </c>
      <c r="D46" s="126">
        <f>AVERAGEIFS(Posts!O:O,Posts!N:N, A46, Posts!C:C, "&gt;="&amp;B46, Posts!C:C, "&lt;="&amp;C46)</f>
        <v>9.5604953356204198E-2</v>
      </c>
      <c r="E46" s="126">
        <f>AVERAGEIFS(Posts!O:O, Posts!N:N, A46, Posts!C:C, "&gt;="&amp;B46-30,Posts!C:C, "&lt;"&amp;B46)</f>
        <v>4.3543867212761371E-2</v>
      </c>
      <c r="F46" s="82">
        <f t="shared" si="0"/>
        <v>1.1956008842546102</v>
      </c>
    </row>
    <row r="63" spans="1:10" ht="18" x14ac:dyDescent="0.35">
      <c r="A63" s="135" t="s">
        <v>410</v>
      </c>
      <c r="B63" s="135"/>
      <c r="C63" s="135"/>
      <c r="D63" s="135"/>
      <c r="E63" s="135"/>
      <c r="F63" s="135"/>
      <c r="G63" s="135"/>
      <c r="H63" s="135"/>
      <c r="I63" s="135"/>
      <c r="J63" s="135"/>
    </row>
    <row r="64" spans="1:10" x14ac:dyDescent="0.3">
      <c r="A64" s="118" t="s">
        <v>11</v>
      </c>
      <c r="B64" s="119" t="s">
        <v>366</v>
      </c>
      <c r="C64" s="119" t="s">
        <v>367</v>
      </c>
      <c r="D64" s="127" t="s">
        <v>403</v>
      </c>
      <c r="E64" s="127" t="s">
        <v>404</v>
      </c>
      <c r="F64" s="127" t="s">
        <v>405</v>
      </c>
      <c r="G64" s="127" t="s">
        <v>406</v>
      </c>
      <c r="H64" s="127" t="s">
        <v>407</v>
      </c>
      <c r="I64" s="127" t="s">
        <v>408</v>
      </c>
      <c r="J64" s="128" t="s">
        <v>409</v>
      </c>
    </row>
    <row r="65" spans="1:10" x14ac:dyDescent="0.3">
      <c r="A65" s="121" t="s">
        <v>16</v>
      </c>
      <c r="B65" s="122">
        <v>45667</v>
      </c>
      <c r="C65" s="122">
        <v>45698</v>
      </c>
      <c r="D65" s="57">
        <f>SUMIFS(Posts!F:F, Posts!N:N, A65, Posts!C:C, "&gt;="&amp;B65, Posts!C:C, "&lt;="&amp;C65)</f>
        <v>34980</v>
      </c>
      <c r="E65" s="57">
        <f>SUMIFS(Posts!H:H, Posts!N:N, A65, Posts!C:C, "&gt;="&amp;B65, Posts!C:C, "&lt;="&amp;C65)</f>
        <v>1712</v>
      </c>
      <c r="F65" s="57">
        <f>SUMIFS(Posts!G:G, Posts!N:N, A65, Posts!C:C, "&gt;="&amp;B65, Posts!C:C, "&lt;="&amp;C65)</f>
        <v>3681</v>
      </c>
      <c r="G65" s="57">
        <f>SUMIFS(Posts!K:K, Posts!N:N, A65, Posts!C:C, "&gt;="&amp;B65, Posts!C:C, "&lt;="&amp;C65)</f>
        <v>2232</v>
      </c>
      <c r="H65" s="57">
        <f>D65+E65+F65+G65</f>
        <v>42605</v>
      </c>
      <c r="I65" s="57">
        <f>SUMIFS('Engagement Summary'!G:G, 'Engagement Summary'!A:A, "&gt;="&amp;B65, 'Engagement Summary'!A:A, "&lt;="&amp;C65)</f>
        <v>201460</v>
      </c>
      <c r="J65" s="82">
        <f>H65/I65</f>
        <v>0.21148118733247295</v>
      </c>
    </row>
    <row r="66" spans="1:10" x14ac:dyDescent="0.3">
      <c r="A66" s="123" t="s">
        <v>20</v>
      </c>
      <c r="B66" s="124">
        <v>45717</v>
      </c>
      <c r="C66" s="124">
        <v>45747</v>
      </c>
      <c r="D66" s="57">
        <f>SUMIFS(Posts!F:F, Posts!N:N, A66, Posts!C:C, "&gt;="&amp;B66, Posts!C:C, "&lt;="&amp;C66)</f>
        <v>23692</v>
      </c>
      <c r="E66" s="57">
        <f>SUMIFS(Posts!H:H, Posts!N:N, A66, Posts!C:C, "&gt;="&amp;B66, Posts!C:C, "&lt;="&amp;C66)</f>
        <v>1433</v>
      </c>
      <c r="F66" s="57">
        <f>SUMIFS(Posts!G:G, Posts!N:N, A66, Posts!C:C, "&gt;="&amp;B66, Posts!C:C, "&lt;="&amp;C66)</f>
        <v>1948</v>
      </c>
      <c r="G66" s="57">
        <f>SUMIFS(Posts!K:K, Posts!N:N, A66, Posts!C:C, "&gt;="&amp;B66, Posts!C:C, "&lt;="&amp;C66)</f>
        <v>1370</v>
      </c>
      <c r="H66" s="57">
        <f t="shared" ref="H66:H68" si="1">D66+E66+F66+G66</f>
        <v>28443</v>
      </c>
      <c r="I66" s="57">
        <f>SUMIFS('Engagement Summary'!G:G, 'Engagement Summary'!A:A, "&gt;="&amp;B66, 'Engagement Summary'!A:A, "&lt;="&amp;C66)</f>
        <v>246330</v>
      </c>
      <c r="J66" s="82">
        <f t="shared" ref="J66:J68" si="2">H66/I66</f>
        <v>0.11546705638777251</v>
      </c>
    </row>
    <row r="67" spans="1:10" x14ac:dyDescent="0.3">
      <c r="A67" s="121" t="s">
        <v>53</v>
      </c>
      <c r="B67" s="122">
        <v>45458</v>
      </c>
      <c r="C67" s="122">
        <v>45488</v>
      </c>
      <c r="D67" s="57">
        <f>SUMIFS(Posts!F:F, Posts!N:N, A67, Posts!C:C, "&gt;="&amp;B67, Posts!C:C, "&lt;="&amp;C67)</f>
        <v>6372</v>
      </c>
      <c r="E67" s="57">
        <f>SUMIFS(Posts!H:H, Posts!N:N, A67, Posts!C:C, "&gt;="&amp;B67, Posts!C:C, "&lt;="&amp;C67)</f>
        <v>449</v>
      </c>
      <c r="F67" s="57">
        <f>SUMIFS(Posts!G:G, Posts!N:N, A67, Posts!C:C, "&gt;="&amp;B67, Posts!C:C, "&lt;="&amp;C67)</f>
        <v>517</v>
      </c>
      <c r="G67" s="57">
        <f>SUMIFS(Posts!K:K, Posts!N:N, A67, Posts!C:C, "&gt;="&amp;B67, Posts!C:C, "&lt;="&amp;C67)</f>
        <v>300</v>
      </c>
      <c r="H67" s="57">
        <f t="shared" si="1"/>
        <v>7638</v>
      </c>
      <c r="I67" s="57">
        <f>SUMIFS('Engagement Summary'!G:G, 'Engagement Summary'!A:A, "&gt;="&amp;B67, 'Engagement Summary'!A:A, "&lt;="&amp;C67)</f>
        <v>252741</v>
      </c>
      <c r="J67" s="82">
        <f t="shared" si="2"/>
        <v>3.0220660676344557E-2</v>
      </c>
    </row>
    <row r="68" spans="1:10" x14ac:dyDescent="0.3">
      <c r="A68" s="123" t="s">
        <v>50</v>
      </c>
      <c r="B68" s="124">
        <v>45627</v>
      </c>
      <c r="C68" s="124">
        <v>45657</v>
      </c>
      <c r="D68" s="57">
        <f>SUMIFS(Posts!F:F, Posts!N:N, A68, Posts!C:C, "&gt;="&amp;B68, Posts!C:C, "&lt;="&amp;C68)</f>
        <v>8375</v>
      </c>
      <c r="E68" s="57">
        <f>SUMIFS(Posts!H:H, Posts!N:N, A68, Posts!C:C, "&gt;="&amp;B68, Posts!C:C, "&lt;="&amp;C68)</f>
        <v>452</v>
      </c>
      <c r="F68" s="57">
        <f>SUMIFS(Posts!G:G, Posts!N:N, A68, Posts!C:C, "&gt;="&amp;B68, Posts!C:C, "&lt;="&amp;C68)</f>
        <v>719</v>
      </c>
      <c r="G68" s="57">
        <f>SUMIFS(Posts!K:K, Posts!N:N, A68, Posts!C:C, "&gt;="&amp;B68, Posts!C:C, "&lt;="&amp;C68)</f>
        <v>253</v>
      </c>
      <c r="H68" s="57">
        <f t="shared" si="1"/>
        <v>9799</v>
      </c>
      <c r="I68" s="57">
        <f>SUMIFS('Engagement Summary'!G:G, 'Engagement Summary'!A:A, "&gt;="&amp;B68, 'Engagement Summary'!A:A, "&lt;="&amp;C68)</f>
        <v>243827</v>
      </c>
      <c r="J68" s="82">
        <f t="shared" si="2"/>
        <v>4.0188330250546495E-2</v>
      </c>
    </row>
    <row r="98" spans="1:4" ht="15.6" x14ac:dyDescent="0.3">
      <c r="A98" s="134" t="s">
        <v>383</v>
      </c>
      <c r="B98" s="134"/>
      <c r="C98" s="134"/>
      <c r="D98" s="134"/>
    </row>
    <row r="99" spans="1:4" x14ac:dyDescent="0.3">
      <c r="A99" s="95" t="s">
        <v>11</v>
      </c>
      <c r="B99" s="97" t="s">
        <v>366</v>
      </c>
      <c r="C99" s="97" t="s">
        <v>367</v>
      </c>
      <c r="D99" s="95" t="s">
        <v>382</v>
      </c>
    </row>
    <row r="100" spans="1:4" x14ac:dyDescent="0.3">
      <c r="A100" s="61" t="s">
        <v>16</v>
      </c>
      <c r="B100" s="98">
        <v>45667</v>
      </c>
      <c r="C100" s="98">
        <v>45698</v>
      </c>
      <c r="D100" s="56">
        <f>SUMIFS('Engagement Summary'!H:H,'Engagement Summary'!A:A, "&gt;="&amp;B100, 'Engagement Summary'!A:A, "&lt;="&amp;C100)</f>
        <v>10142</v>
      </c>
    </row>
    <row r="101" spans="1:4" x14ac:dyDescent="0.3">
      <c r="A101" s="61" t="s">
        <v>20</v>
      </c>
      <c r="B101" s="98">
        <v>45717</v>
      </c>
      <c r="C101" s="98">
        <v>45747</v>
      </c>
      <c r="D101" s="56">
        <f>SUMIFS('Engagement Summary'!H:H,'Engagement Summary'!A:A, "&gt;="&amp;B101, 'Engagement Summary'!A:A, "&lt;="&amp;C101)</f>
        <v>12726</v>
      </c>
    </row>
    <row r="102" spans="1:4" x14ac:dyDescent="0.3">
      <c r="A102" s="100" t="s">
        <v>53</v>
      </c>
      <c r="B102" s="101">
        <v>45458</v>
      </c>
      <c r="C102" s="101">
        <v>45488</v>
      </c>
      <c r="D102" s="102">
        <f>SUMIFS('Engagement Summary'!H:H,'Engagement Summary'!A:A, "&gt;="&amp;B102, 'Engagement Summary'!A:A, "&lt;="&amp;C102)</f>
        <v>13558</v>
      </c>
    </row>
    <row r="103" spans="1:4" x14ac:dyDescent="0.3">
      <c r="A103" s="61" t="s">
        <v>50</v>
      </c>
      <c r="B103" s="98">
        <v>45627</v>
      </c>
      <c r="C103" s="98">
        <v>45657</v>
      </c>
      <c r="D103" s="56">
        <f>SUMIFS('Engagement Summary'!H:H,'Engagement Summary'!A:A, "&gt;="&amp;B103, 'Engagement Summary'!A:A, "&lt;="&amp;C103)</f>
        <v>11361</v>
      </c>
    </row>
    <row r="104" spans="1:4" x14ac:dyDescent="0.3">
      <c r="A104" s="94" t="s">
        <v>346</v>
      </c>
      <c r="B104" s="96"/>
      <c r="C104" s="96"/>
      <c r="D104" s="99">
        <f>SUM(D100:D103)</f>
        <v>47787</v>
      </c>
    </row>
  </sheetData>
  <mergeCells count="4">
    <mergeCell ref="A98:D98"/>
    <mergeCell ref="A41:F41"/>
    <mergeCell ref="A63:J63"/>
    <mergeCell ref="A1:I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0069A-D8A9-435D-A388-B89C3586F29F}">
  <dimension ref="A2:F222"/>
  <sheetViews>
    <sheetView tabSelected="1" zoomScaleNormal="100" workbookViewId="0">
      <selection activeCell="H22" sqref="H22"/>
    </sheetView>
  </sheetViews>
  <sheetFormatPr defaultRowHeight="14.4" x14ac:dyDescent="0.3"/>
  <cols>
    <col min="1" max="1" width="17.5546875" bestFit="1" customWidth="1"/>
    <col min="2" max="3" width="22" bestFit="1" customWidth="1"/>
    <col min="4" max="4" width="19.33203125" bestFit="1" customWidth="1"/>
    <col min="5" max="5" width="22.44140625" bestFit="1" customWidth="1"/>
    <col min="6" max="7" width="21.33203125" bestFit="1" customWidth="1"/>
    <col min="11" max="11" width="10.33203125" customWidth="1"/>
  </cols>
  <sheetData>
    <row r="2" spans="1:6" ht="15.6" x14ac:dyDescent="0.3">
      <c r="A2" s="136" t="s">
        <v>385</v>
      </c>
      <c r="B2" s="136"/>
    </row>
    <row r="3" spans="1:6" x14ac:dyDescent="0.3">
      <c r="A3" s="7" t="s">
        <v>339</v>
      </c>
      <c r="B3" t="s">
        <v>384</v>
      </c>
    </row>
    <row r="4" spans="1:6" x14ac:dyDescent="0.3">
      <c r="A4" s="104">
        <v>45600</v>
      </c>
      <c r="B4" s="105">
        <v>3576</v>
      </c>
    </row>
    <row r="5" spans="1:6" x14ac:dyDescent="0.3">
      <c r="A5" s="98">
        <v>45796</v>
      </c>
      <c r="B5" s="92">
        <v>3569</v>
      </c>
    </row>
    <row r="6" spans="1:6" x14ac:dyDescent="0.3">
      <c r="A6" s="98">
        <v>45446</v>
      </c>
      <c r="B6" s="92">
        <v>3419</v>
      </c>
    </row>
    <row r="7" spans="1:6" x14ac:dyDescent="0.3">
      <c r="A7" s="98">
        <v>45754</v>
      </c>
      <c r="B7" s="92">
        <v>3291</v>
      </c>
    </row>
    <row r="8" spans="1:6" x14ac:dyDescent="0.3">
      <c r="A8" s="98">
        <v>45866</v>
      </c>
      <c r="B8" s="92">
        <v>3236</v>
      </c>
    </row>
    <row r="9" spans="1:6" x14ac:dyDescent="0.3">
      <c r="A9" s="98">
        <v>45761</v>
      </c>
      <c r="B9" s="92">
        <v>3216</v>
      </c>
      <c r="F9" s="1"/>
    </row>
    <row r="10" spans="1:6" x14ac:dyDescent="0.3">
      <c r="A10" s="98">
        <v>45460</v>
      </c>
      <c r="B10" s="92">
        <v>3175</v>
      </c>
      <c r="F10" s="1"/>
    </row>
    <row r="11" spans="1:6" x14ac:dyDescent="0.3">
      <c r="A11" s="98">
        <v>45481</v>
      </c>
      <c r="B11" s="92">
        <v>3155</v>
      </c>
      <c r="F11" s="1"/>
    </row>
    <row r="12" spans="1:6" x14ac:dyDescent="0.3">
      <c r="A12" s="98">
        <v>45565</v>
      </c>
      <c r="B12" s="92">
        <v>3151</v>
      </c>
      <c r="F12" s="1"/>
    </row>
    <row r="13" spans="1:6" x14ac:dyDescent="0.3">
      <c r="A13" s="98">
        <v>45516</v>
      </c>
      <c r="B13" s="92">
        <v>3072</v>
      </c>
      <c r="F13" s="1"/>
    </row>
    <row r="14" spans="1:6" ht="15.6" x14ac:dyDescent="0.3">
      <c r="A14" s="98">
        <v>45803</v>
      </c>
      <c r="B14" s="92">
        <v>2909</v>
      </c>
      <c r="F14" s="103"/>
    </row>
    <row r="15" spans="1:6" x14ac:dyDescent="0.3">
      <c r="A15" s="98">
        <v>45607</v>
      </c>
      <c r="B15" s="92">
        <v>2794</v>
      </c>
    </row>
    <row r="16" spans="1:6" x14ac:dyDescent="0.3">
      <c r="A16" s="98">
        <v>45586</v>
      </c>
      <c r="B16" s="92">
        <v>2792</v>
      </c>
    </row>
    <row r="17" spans="1:5" x14ac:dyDescent="0.3">
      <c r="A17" s="98">
        <v>45558</v>
      </c>
      <c r="B17" s="92">
        <v>2785</v>
      </c>
    </row>
    <row r="18" spans="1:5" x14ac:dyDescent="0.3">
      <c r="A18" s="98">
        <v>45747</v>
      </c>
      <c r="B18" s="92">
        <v>2781</v>
      </c>
    </row>
    <row r="19" spans="1:5" x14ac:dyDescent="0.3">
      <c r="A19" s="98">
        <v>45453</v>
      </c>
      <c r="B19" s="92">
        <v>2777</v>
      </c>
    </row>
    <row r="20" spans="1:5" x14ac:dyDescent="0.3">
      <c r="A20" s="98">
        <v>45719</v>
      </c>
      <c r="B20" s="92">
        <v>2763</v>
      </c>
    </row>
    <row r="21" spans="1:5" x14ac:dyDescent="0.3">
      <c r="A21" s="98">
        <v>45859</v>
      </c>
      <c r="B21" s="92">
        <v>2694</v>
      </c>
    </row>
    <row r="22" spans="1:5" x14ac:dyDescent="0.3">
      <c r="A22" s="98">
        <v>45509</v>
      </c>
      <c r="B22" s="92">
        <v>2693</v>
      </c>
    </row>
    <row r="23" spans="1:5" x14ac:dyDescent="0.3">
      <c r="A23" s="98">
        <v>45642</v>
      </c>
      <c r="B23" s="92">
        <v>2693</v>
      </c>
      <c r="E23" s="9"/>
    </row>
    <row r="24" spans="1:5" x14ac:dyDescent="0.3">
      <c r="A24" s="98">
        <v>45740</v>
      </c>
      <c r="B24" s="92">
        <v>2679</v>
      </c>
    </row>
    <row r="25" spans="1:5" x14ac:dyDescent="0.3">
      <c r="A25" s="98">
        <v>45579</v>
      </c>
      <c r="B25" s="92">
        <v>2670</v>
      </c>
    </row>
    <row r="26" spans="1:5" x14ac:dyDescent="0.3">
      <c r="A26" s="98">
        <v>45845</v>
      </c>
      <c r="B26" s="92">
        <v>2669</v>
      </c>
    </row>
    <row r="27" spans="1:5" x14ac:dyDescent="0.3">
      <c r="A27" s="98">
        <v>45852</v>
      </c>
      <c r="B27" s="92">
        <v>2654</v>
      </c>
    </row>
    <row r="28" spans="1:5" x14ac:dyDescent="0.3">
      <c r="A28" s="98">
        <v>45894</v>
      </c>
      <c r="B28" s="92">
        <v>2646</v>
      </c>
    </row>
    <row r="29" spans="1:5" x14ac:dyDescent="0.3">
      <c r="A29" s="98">
        <v>45544</v>
      </c>
      <c r="B29" s="92">
        <v>2630</v>
      </c>
    </row>
    <row r="30" spans="1:5" x14ac:dyDescent="0.3">
      <c r="A30" s="98">
        <v>45649</v>
      </c>
      <c r="B30" s="92">
        <v>2550</v>
      </c>
    </row>
    <row r="31" spans="1:5" x14ac:dyDescent="0.3">
      <c r="A31" s="98">
        <v>45537</v>
      </c>
      <c r="B31" s="92">
        <v>2502</v>
      </c>
    </row>
    <row r="32" spans="1:5" x14ac:dyDescent="0.3">
      <c r="A32" s="98">
        <v>45663</v>
      </c>
      <c r="B32" s="92">
        <v>2451</v>
      </c>
    </row>
    <row r="33" spans="1:2" x14ac:dyDescent="0.3">
      <c r="A33" s="98">
        <v>45530</v>
      </c>
      <c r="B33" s="92">
        <v>2450</v>
      </c>
    </row>
    <row r="34" spans="1:2" x14ac:dyDescent="0.3">
      <c r="A34" s="98">
        <v>45467</v>
      </c>
      <c r="B34" s="92">
        <v>2433</v>
      </c>
    </row>
    <row r="35" spans="1:2" x14ac:dyDescent="0.3">
      <c r="A35" s="98">
        <v>45474</v>
      </c>
      <c r="B35" s="92">
        <v>2426</v>
      </c>
    </row>
    <row r="36" spans="1:2" x14ac:dyDescent="0.3">
      <c r="A36" s="98">
        <v>45628</v>
      </c>
      <c r="B36" s="92">
        <v>2383</v>
      </c>
    </row>
    <row r="37" spans="1:2" x14ac:dyDescent="0.3">
      <c r="A37" s="98">
        <v>45775</v>
      </c>
      <c r="B37" s="92">
        <v>2378</v>
      </c>
    </row>
    <row r="38" spans="1:2" x14ac:dyDescent="0.3">
      <c r="A38" s="98">
        <v>45488</v>
      </c>
      <c r="B38" s="92">
        <v>2369</v>
      </c>
    </row>
    <row r="39" spans="1:2" x14ac:dyDescent="0.3">
      <c r="A39" s="98">
        <v>45698</v>
      </c>
      <c r="B39" s="92">
        <v>2361</v>
      </c>
    </row>
    <row r="40" spans="1:2" x14ac:dyDescent="0.3">
      <c r="A40" s="98">
        <v>45880</v>
      </c>
      <c r="B40" s="92">
        <v>2347</v>
      </c>
    </row>
    <row r="41" spans="1:2" x14ac:dyDescent="0.3">
      <c r="A41" s="98">
        <v>45670</v>
      </c>
      <c r="B41" s="92">
        <v>2341</v>
      </c>
    </row>
    <row r="42" spans="1:2" x14ac:dyDescent="0.3">
      <c r="A42" s="98">
        <v>45572</v>
      </c>
      <c r="B42" s="92">
        <v>2338</v>
      </c>
    </row>
    <row r="43" spans="1:2" x14ac:dyDescent="0.3">
      <c r="A43" s="98">
        <v>45656</v>
      </c>
      <c r="B43" s="92">
        <v>2337</v>
      </c>
    </row>
    <row r="44" spans="1:2" x14ac:dyDescent="0.3">
      <c r="A44" s="98">
        <v>45726</v>
      </c>
      <c r="B44" s="92">
        <v>2315</v>
      </c>
    </row>
    <row r="45" spans="1:2" x14ac:dyDescent="0.3">
      <c r="A45" s="98">
        <v>45838</v>
      </c>
      <c r="B45" s="92">
        <v>2315</v>
      </c>
    </row>
    <row r="46" spans="1:2" x14ac:dyDescent="0.3">
      <c r="A46" s="98">
        <v>45523</v>
      </c>
      <c r="B46" s="92">
        <v>2300</v>
      </c>
    </row>
    <row r="47" spans="1:2" x14ac:dyDescent="0.3">
      <c r="A47" s="98">
        <v>45621</v>
      </c>
      <c r="B47" s="92">
        <v>2287</v>
      </c>
    </row>
    <row r="48" spans="1:2" x14ac:dyDescent="0.3">
      <c r="A48" s="98">
        <v>45495</v>
      </c>
      <c r="B48" s="92">
        <v>2281</v>
      </c>
    </row>
    <row r="49" spans="1:6" x14ac:dyDescent="0.3">
      <c r="A49" s="98">
        <v>45817</v>
      </c>
      <c r="B49" s="92">
        <v>2243</v>
      </c>
    </row>
    <row r="50" spans="1:6" x14ac:dyDescent="0.3">
      <c r="A50" s="98">
        <v>45733</v>
      </c>
      <c r="B50" s="92">
        <v>2188</v>
      </c>
    </row>
    <row r="51" spans="1:6" x14ac:dyDescent="0.3">
      <c r="A51" s="98">
        <v>45593</v>
      </c>
      <c r="B51" s="92">
        <v>2181</v>
      </c>
    </row>
    <row r="52" spans="1:6" x14ac:dyDescent="0.3">
      <c r="A52" s="98">
        <v>45551</v>
      </c>
      <c r="B52" s="92">
        <v>2162</v>
      </c>
    </row>
    <row r="53" spans="1:6" x14ac:dyDescent="0.3">
      <c r="A53" s="98">
        <v>45502</v>
      </c>
      <c r="B53" s="92">
        <v>2132</v>
      </c>
      <c r="F53" s="4"/>
    </row>
    <row r="54" spans="1:6" x14ac:dyDescent="0.3">
      <c r="A54" s="98">
        <v>45782</v>
      </c>
      <c r="B54" s="92">
        <v>2054</v>
      </c>
      <c r="F54" s="4"/>
    </row>
    <row r="55" spans="1:6" x14ac:dyDescent="0.3">
      <c r="A55" s="98">
        <v>45810</v>
      </c>
      <c r="B55" s="92">
        <v>2049</v>
      </c>
      <c r="F55" s="4"/>
    </row>
    <row r="56" spans="1:6" x14ac:dyDescent="0.3">
      <c r="A56" s="98">
        <v>45824</v>
      </c>
      <c r="B56" s="92">
        <v>2017</v>
      </c>
      <c r="F56" s="4"/>
    </row>
    <row r="57" spans="1:6" x14ac:dyDescent="0.3">
      <c r="A57" s="98">
        <v>45614</v>
      </c>
      <c r="B57" s="92">
        <v>1935</v>
      </c>
      <c r="F57" s="4"/>
    </row>
    <row r="58" spans="1:6" x14ac:dyDescent="0.3">
      <c r="A58" s="98">
        <v>45684</v>
      </c>
      <c r="B58" s="92">
        <v>1928</v>
      </c>
      <c r="F58" s="4"/>
    </row>
    <row r="59" spans="1:6" x14ac:dyDescent="0.3">
      <c r="A59" s="98">
        <v>45677</v>
      </c>
      <c r="B59" s="92">
        <v>1832</v>
      </c>
      <c r="F59" s="4"/>
    </row>
    <row r="60" spans="1:6" x14ac:dyDescent="0.3">
      <c r="A60" s="98">
        <v>45887</v>
      </c>
      <c r="B60" s="92">
        <v>1819</v>
      </c>
      <c r="F60" s="4"/>
    </row>
    <row r="61" spans="1:6" x14ac:dyDescent="0.3">
      <c r="A61" s="98">
        <v>45768</v>
      </c>
      <c r="B61" s="92">
        <v>1728</v>
      </c>
      <c r="F61" s="4"/>
    </row>
    <row r="62" spans="1:6" x14ac:dyDescent="0.3">
      <c r="A62" s="98">
        <v>45712</v>
      </c>
      <c r="B62" s="92">
        <v>1713</v>
      </c>
      <c r="F62" s="4"/>
    </row>
    <row r="63" spans="1:6" x14ac:dyDescent="0.3">
      <c r="A63" s="98">
        <v>45873</v>
      </c>
      <c r="B63" s="92">
        <v>1689</v>
      </c>
      <c r="F63" s="4"/>
    </row>
    <row r="64" spans="1:6" x14ac:dyDescent="0.3">
      <c r="A64" s="98">
        <v>45691</v>
      </c>
      <c r="B64" s="92">
        <v>1680</v>
      </c>
      <c r="F64" s="4"/>
    </row>
    <row r="65" spans="1:6" x14ac:dyDescent="0.3">
      <c r="A65" s="98">
        <v>45705</v>
      </c>
      <c r="B65" s="92">
        <v>1543</v>
      </c>
      <c r="F65" s="4"/>
    </row>
    <row r="66" spans="1:6" x14ac:dyDescent="0.3">
      <c r="A66" s="98">
        <v>45908</v>
      </c>
      <c r="B66" s="92">
        <v>1436</v>
      </c>
      <c r="F66" s="4"/>
    </row>
    <row r="67" spans="1:6" x14ac:dyDescent="0.3">
      <c r="A67" s="98">
        <v>45901</v>
      </c>
      <c r="B67" s="92">
        <v>1424</v>
      </c>
      <c r="F67" s="4"/>
    </row>
    <row r="68" spans="1:6" x14ac:dyDescent="0.3">
      <c r="A68" s="98">
        <v>45789</v>
      </c>
      <c r="B68" s="92">
        <v>1400</v>
      </c>
      <c r="F68" s="4"/>
    </row>
    <row r="69" spans="1:6" x14ac:dyDescent="0.3">
      <c r="A69" s="98">
        <v>45635</v>
      </c>
      <c r="B69" s="92">
        <v>1398</v>
      </c>
      <c r="F69" s="4"/>
    </row>
    <row r="70" spans="1:6" x14ac:dyDescent="0.3">
      <c r="A70" s="98">
        <v>45831</v>
      </c>
      <c r="B70" s="92">
        <v>1384</v>
      </c>
      <c r="F70" s="4"/>
    </row>
    <row r="71" spans="1:6" x14ac:dyDescent="0.3">
      <c r="A71" s="47" t="s">
        <v>346</v>
      </c>
      <c r="B71" s="4">
        <v>161588</v>
      </c>
      <c r="F71" s="4"/>
    </row>
    <row r="72" spans="1:6" x14ac:dyDescent="0.3">
      <c r="F72" s="4"/>
    </row>
    <row r="73" spans="1:6" x14ac:dyDescent="0.3">
      <c r="E73" s="1"/>
      <c r="F73" s="4"/>
    </row>
    <row r="74" spans="1:6" x14ac:dyDescent="0.3">
      <c r="E74" s="1"/>
      <c r="F74" s="4"/>
    </row>
    <row r="75" spans="1:6" x14ac:dyDescent="0.3">
      <c r="E75" s="1"/>
      <c r="F75" s="4"/>
    </row>
    <row r="76" spans="1:6" x14ac:dyDescent="0.3">
      <c r="E76" s="1"/>
      <c r="F76" s="4"/>
    </row>
    <row r="77" spans="1:6" x14ac:dyDescent="0.3">
      <c r="E77" s="1"/>
      <c r="F77" s="4"/>
    </row>
    <row r="78" spans="1:6" ht="15.6" x14ac:dyDescent="0.3">
      <c r="A78" s="134" t="s">
        <v>389</v>
      </c>
      <c r="B78" s="134"/>
      <c r="C78" s="134"/>
      <c r="E78" s="1"/>
      <c r="F78" s="4"/>
    </row>
    <row r="79" spans="1:6" x14ac:dyDescent="0.3">
      <c r="A79" s="95" t="s">
        <v>339</v>
      </c>
      <c r="B79" s="95" t="s">
        <v>384</v>
      </c>
      <c r="C79" s="95" t="s">
        <v>386</v>
      </c>
      <c r="E79" s="1"/>
      <c r="F79" s="4"/>
    </row>
    <row r="80" spans="1:6" x14ac:dyDescent="0.3">
      <c r="A80" s="1">
        <v>45446</v>
      </c>
      <c r="B80" s="4">
        <v>3419</v>
      </c>
      <c r="E80" s="1"/>
      <c r="F80" s="4"/>
    </row>
    <row r="81" spans="1:6" x14ac:dyDescent="0.3">
      <c r="A81" s="1">
        <v>45453</v>
      </c>
      <c r="B81" s="4">
        <v>2777</v>
      </c>
      <c r="E81" s="1"/>
      <c r="F81" s="4"/>
    </row>
    <row r="82" spans="1:6" x14ac:dyDescent="0.3">
      <c r="A82" s="1">
        <v>45460</v>
      </c>
      <c r="B82" s="4">
        <v>3175</v>
      </c>
      <c r="C82" s="3">
        <f>AVERAGE(B80:B82)</f>
        <v>3123.6666666666665</v>
      </c>
      <c r="E82" s="1"/>
      <c r="F82" s="4"/>
    </row>
    <row r="83" spans="1:6" x14ac:dyDescent="0.3">
      <c r="A83" s="1">
        <v>45467</v>
      </c>
      <c r="B83" s="4">
        <v>2433</v>
      </c>
      <c r="C83" s="3">
        <f>AVERAGE(B81:B83)</f>
        <v>2795</v>
      </c>
      <c r="E83" s="1"/>
      <c r="F83" s="4"/>
    </row>
    <row r="84" spans="1:6" x14ac:dyDescent="0.3">
      <c r="A84" s="1">
        <v>45474</v>
      </c>
      <c r="B84" s="4">
        <v>2426</v>
      </c>
      <c r="C84" s="3">
        <f t="shared" ref="C84:C145" si="0">AVERAGE(B82:B84)</f>
        <v>2678</v>
      </c>
      <c r="E84" s="1"/>
      <c r="F84" s="4"/>
    </row>
    <row r="85" spans="1:6" x14ac:dyDescent="0.3">
      <c r="A85" s="1">
        <v>45481</v>
      </c>
      <c r="B85" s="4">
        <v>3155</v>
      </c>
      <c r="C85" s="3">
        <f t="shared" si="0"/>
        <v>2671.3333333333335</v>
      </c>
      <c r="E85" s="1"/>
      <c r="F85" s="4"/>
    </row>
    <row r="86" spans="1:6" x14ac:dyDescent="0.3">
      <c r="A86" s="1">
        <v>45488</v>
      </c>
      <c r="B86" s="4">
        <v>2369</v>
      </c>
      <c r="C86" s="3">
        <f t="shared" si="0"/>
        <v>2650</v>
      </c>
      <c r="E86" s="1"/>
      <c r="F86" s="4"/>
    </row>
    <row r="87" spans="1:6" x14ac:dyDescent="0.3">
      <c r="A87" s="1">
        <v>45495</v>
      </c>
      <c r="B87" s="4">
        <v>2281</v>
      </c>
      <c r="C87" s="3">
        <f t="shared" si="0"/>
        <v>2601.6666666666665</v>
      </c>
      <c r="E87" s="1"/>
      <c r="F87" s="4"/>
    </row>
    <row r="88" spans="1:6" x14ac:dyDescent="0.3">
      <c r="A88" s="1">
        <v>45502</v>
      </c>
      <c r="B88" s="4">
        <v>2132</v>
      </c>
      <c r="C88" s="3">
        <f t="shared" si="0"/>
        <v>2260.6666666666665</v>
      </c>
      <c r="E88" s="1"/>
      <c r="F88" s="4"/>
    </row>
    <row r="89" spans="1:6" x14ac:dyDescent="0.3">
      <c r="A89" s="1">
        <v>45509</v>
      </c>
      <c r="B89" s="4">
        <v>2693</v>
      </c>
      <c r="C89" s="3">
        <f>AVERAGE(B87:B89)</f>
        <v>2368.6666666666665</v>
      </c>
      <c r="E89" s="1"/>
      <c r="F89" s="4"/>
    </row>
    <row r="90" spans="1:6" x14ac:dyDescent="0.3">
      <c r="A90" s="1">
        <v>45516</v>
      </c>
      <c r="B90" s="4">
        <v>3072</v>
      </c>
      <c r="C90" s="3">
        <f>AVERAGE(B88:B90)</f>
        <v>2632.3333333333335</v>
      </c>
      <c r="E90" s="1"/>
      <c r="F90" s="4"/>
    </row>
    <row r="91" spans="1:6" x14ac:dyDescent="0.3">
      <c r="A91" s="1">
        <v>45523</v>
      </c>
      <c r="B91" s="4">
        <v>2300</v>
      </c>
      <c r="C91" s="3">
        <f t="shared" si="0"/>
        <v>2688.3333333333335</v>
      </c>
      <c r="E91" s="1"/>
      <c r="F91" s="4"/>
    </row>
    <row r="92" spans="1:6" x14ac:dyDescent="0.3">
      <c r="A92" s="1">
        <v>45530</v>
      </c>
      <c r="B92" s="4">
        <v>2450</v>
      </c>
      <c r="C92" s="3">
        <f t="shared" si="0"/>
        <v>2607.3333333333335</v>
      </c>
      <c r="E92" s="1"/>
      <c r="F92" s="4"/>
    </row>
    <row r="93" spans="1:6" x14ac:dyDescent="0.3">
      <c r="A93" s="1">
        <v>45537</v>
      </c>
      <c r="B93" s="4">
        <v>2502</v>
      </c>
      <c r="C93" s="3">
        <f t="shared" si="0"/>
        <v>2417.3333333333335</v>
      </c>
      <c r="E93" s="1"/>
      <c r="F93" s="4"/>
    </row>
    <row r="94" spans="1:6" x14ac:dyDescent="0.3">
      <c r="A94" s="1">
        <v>45544</v>
      </c>
      <c r="B94" s="4">
        <v>2630</v>
      </c>
      <c r="C94" s="3">
        <f t="shared" si="0"/>
        <v>2527.3333333333335</v>
      </c>
      <c r="E94" s="1"/>
      <c r="F94" s="4"/>
    </row>
    <row r="95" spans="1:6" x14ac:dyDescent="0.3">
      <c r="A95" s="1">
        <v>45551</v>
      </c>
      <c r="B95" s="4">
        <v>2162</v>
      </c>
      <c r="C95" s="3">
        <f t="shared" si="0"/>
        <v>2431.3333333333335</v>
      </c>
      <c r="E95" s="1"/>
      <c r="F95" s="4"/>
    </row>
    <row r="96" spans="1:6" x14ac:dyDescent="0.3">
      <c r="A96" s="1">
        <v>45558</v>
      </c>
      <c r="B96" s="4">
        <v>2785</v>
      </c>
      <c r="C96" s="3">
        <f t="shared" si="0"/>
        <v>2525.6666666666665</v>
      </c>
      <c r="E96" s="1"/>
      <c r="F96" s="4"/>
    </row>
    <row r="97" spans="1:6" x14ac:dyDescent="0.3">
      <c r="A97" s="1">
        <v>45565</v>
      </c>
      <c r="B97" s="4">
        <v>3151</v>
      </c>
      <c r="C97" s="3">
        <f t="shared" si="0"/>
        <v>2699.3333333333335</v>
      </c>
      <c r="E97" s="1"/>
      <c r="F97" s="4"/>
    </row>
    <row r="98" spans="1:6" x14ac:dyDescent="0.3">
      <c r="A98" s="1">
        <v>45572</v>
      </c>
      <c r="B98" s="4">
        <v>2338</v>
      </c>
      <c r="C98" s="3">
        <f t="shared" si="0"/>
        <v>2758</v>
      </c>
      <c r="E98" s="1"/>
      <c r="F98" s="4"/>
    </row>
    <row r="99" spans="1:6" x14ac:dyDescent="0.3">
      <c r="A99" s="1">
        <v>45579</v>
      </c>
      <c r="B99" s="4">
        <v>2670</v>
      </c>
      <c r="C99" s="3">
        <f t="shared" si="0"/>
        <v>2719.6666666666665</v>
      </c>
      <c r="E99" s="1"/>
      <c r="F99" s="4"/>
    </row>
    <row r="100" spans="1:6" x14ac:dyDescent="0.3">
      <c r="A100" s="1">
        <v>45586</v>
      </c>
      <c r="B100" s="4">
        <v>2792</v>
      </c>
      <c r="C100" s="3">
        <f t="shared" si="0"/>
        <v>2600</v>
      </c>
      <c r="E100" s="1"/>
      <c r="F100" s="4"/>
    </row>
    <row r="101" spans="1:6" x14ac:dyDescent="0.3">
      <c r="A101" s="1">
        <v>45593</v>
      </c>
      <c r="B101" s="4">
        <v>2181</v>
      </c>
      <c r="C101" s="3">
        <f t="shared" si="0"/>
        <v>2547.6666666666665</v>
      </c>
      <c r="E101" s="1"/>
      <c r="F101" s="4"/>
    </row>
    <row r="102" spans="1:6" x14ac:dyDescent="0.3">
      <c r="A102" s="1">
        <v>45600</v>
      </c>
      <c r="B102" s="4">
        <v>3576</v>
      </c>
      <c r="C102" s="3">
        <f t="shared" si="0"/>
        <v>2849.6666666666665</v>
      </c>
      <c r="E102" s="1"/>
      <c r="F102" s="4"/>
    </row>
    <row r="103" spans="1:6" x14ac:dyDescent="0.3">
      <c r="A103" s="1">
        <v>45607</v>
      </c>
      <c r="B103" s="4">
        <v>2794</v>
      </c>
      <c r="C103" s="3">
        <f t="shared" si="0"/>
        <v>2850.3333333333335</v>
      </c>
      <c r="E103" s="1"/>
      <c r="F103" s="4"/>
    </row>
    <row r="104" spans="1:6" x14ac:dyDescent="0.3">
      <c r="A104" s="1">
        <v>45614</v>
      </c>
      <c r="B104" s="4">
        <v>1935</v>
      </c>
      <c r="C104" s="3">
        <f t="shared" si="0"/>
        <v>2768.3333333333335</v>
      </c>
      <c r="E104" s="1"/>
      <c r="F104" s="4"/>
    </row>
    <row r="105" spans="1:6" x14ac:dyDescent="0.3">
      <c r="A105" s="1">
        <v>45621</v>
      </c>
      <c r="B105" s="4">
        <v>2287</v>
      </c>
      <c r="C105" s="3">
        <f t="shared" si="0"/>
        <v>2338.6666666666665</v>
      </c>
      <c r="E105" s="1"/>
      <c r="F105" s="4"/>
    </row>
    <row r="106" spans="1:6" x14ac:dyDescent="0.3">
      <c r="A106" s="1">
        <v>45628</v>
      </c>
      <c r="B106" s="4">
        <v>2383</v>
      </c>
      <c r="C106" s="3">
        <f t="shared" si="0"/>
        <v>2201.6666666666665</v>
      </c>
      <c r="E106" s="1"/>
      <c r="F106" s="4"/>
    </row>
    <row r="107" spans="1:6" x14ac:dyDescent="0.3">
      <c r="A107" s="1">
        <v>45635</v>
      </c>
      <c r="B107" s="4">
        <v>1398</v>
      </c>
      <c r="C107" s="3">
        <f t="shared" si="0"/>
        <v>2022.6666666666667</v>
      </c>
      <c r="E107" s="1"/>
      <c r="F107" s="4"/>
    </row>
    <row r="108" spans="1:6" x14ac:dyDescent="0.3">
      <c r="A108" s="1">
        <v>45642</v>
      </c>
      <c r="B108" s="4">
        <v>2693</v>
      </c>
      <c r="C108" s="3">
        <f t="shared" si="0"/>
        <v>2158</v>
      </c>
      <c r="E108" s="1"/>
      <c r="F108" s="4"/>
    </row>
    <row r="109" spans="1:6" x14ac:dyDescent="0.3">
      <c r="A109" s="1">
        <v>45649</v>
      </c>
      <c r="B109" s="4">
        <v>2550</v>
      </c>
      <c r="C109" s="3">
        <f t="shared" si="0"/>
        <v>2213.6666666666665</v>
      </c>
      <c r="E109" s="1"/>
      <c r="F109" s="4"/>
    </row>
    <row r="110" spans="1:6" x14ac:dyDescent="0.3">
      <c r="A110" s="1">
        <v>45656</v>
      </c>
      <c r="B110" s="4">
        <v>2337</v>
      </c>
      <c r="C110" s="3">
        <f t="shared" si="0"/>
        <v>2526.6666666666665</v>
      </c>
      <c r="E110" s="1"/>
      <c r="F110" s="4"/>
    </row>
    <row r="111" spans="1:6" x14ac:dyDescent="0.3">
      <c r="A111" s="1">
        <v>45663</v>
      </c>
      <c r="B111" s="4">
        <v>2451</v>
      </c>
      <c r="C111" s="3">
        <f t="shared" si="0"/>
        <v>2446</v>
      </c>
      <c r="E111" s="1"/>
      <c r="F111" s="4"/>
    </row>
    <row r="112" spans="1:6" x14ac:dyDescent="0.3">
      <c r="A112" s="1">
        <v>45670</v>
      </c>
      <c r="B112" s="4">
        <v>2341</v>
      </c>
      <c r="C112" s="3">
        <f t="shared" si="0"/>
        <v>2376.3333333333335</v>
      </c>
      <c r="E112" s="1"/>
      <c r="F112" s="4"/>
    </row>
    <row r="113" spans="1:3" x14ac:dyDescent="0.3">
      <c r="A113" s="1">
        <v>45677</v>
      </c>
      <c r="B113" s="4">
        <v>1832</v>
      </c>
      <c r="C113" s="3">
        <f t="shared" si="0"/>
        <v>2208</v>
      </c>
    </row>
    <row r="114" spans="1:3" x14ac:dyDescent="0.3">
      <c r="A114" s="1">
        <v>45684</v>
      </c>
      <c r="B114" s="4">
        <v>1928</v>
      </c>
      <c r="C114" s="3">
        <f t="shared" si="0"/>
        <v>2033.6666666666667</v>
      </c>
    </row>
    <row r="115" spans="1:3" x14ac:dyDescent="0.3">
      <c r="A115" s="1">
        <v>45691</v>
      </c>
      <c r="B115" s="4">
        <v>1680</v>
      </c>
      <c r="C115" s="3">
        <f t="shared" si="0"/>
        <v>1813.3333333333333</v>
      </c>
    </row>
    <row r="116" spans="1:3" x14ac:dyDescent="0.3">
      <c r="A116" s="1">
        <v>45698</v>
      </c>
      <c r="B116" s="4">
        <v>2361</v>
      </c>
      <c r="C116" s="3">
        <f t="shared" si="0"/>
        <v>1989.6666666666667</v>
      </c>
    </row>
    <row r="117" spans="1:3" x14ac:dyDescent="0.3">
      <c r="A117" s="1">
        <v>45705</v>
      </c>
      <c r="B117" s="4">
        <v>1543</v>
      </c>
      <c r="C117" s="3">
        <f t="shared" si="0"/>
        <v>1861.3333333333333</v>
      </c>
    </row>
    <row r="118" spans="1:3" x14ac:dyDescent="0.3">
      <c r="A118" s="1">
        <v>45712</v>
      </c>
      <c r="B118" s="4">
        <v>1713</v>
      </c>
      <c r="C118" s="3">
        <f t="shared" si="0"/>
        <v>1872.3333333333333</v>
      </c>
    </row>
    <row r="119" spans="1:3" x14ac:dyDescent="0.3">
      <c r="A119" s="1">
        <v>45719</v>
      </c>
      <c r="B119" s="4">
        <v>2763</v>
      </c>
      <c r="C119" s="3">
        <f t="shared" si="0"/>
        <v>2006.3333333333333</v>
      </c>
    </row>
    <row r="120" spans="1:3" x14ac:dyDescent="0.3">
      <c r="A120" s="1">
        <v>45726</v>
      </c>
      <c r="B120" s="4">
        <v>2315</v>
      </c>
      <c r="C120" s="3">
        <f t="shared" si="0"/>
        <v>2263.6666666666665</v>
      </c>
    </row>
    <row r="121" spans="1:3" x14ac:dyDescent="0.3">
      <c r="A121" s="1">
        <v>45733</v>
      </c>
      <c r="B121" s="4">
        <v>2188</v>
      </c>
      <c r="C121" s="3">
        <f t="shared" si="0"/>
        <v>2422</v>
      </c>
    </row>
    <row r="122" spans="1:3" x14ac:dyDescent="0.3">
      <c r="A122" s="1">
        <v>45740</v>
      </c>
      <c r="B122" s="4">
        <v>2679</v>
      </c>
      <c r="C122" s="3">
        <f t="shared" si="0"/>
        <v>2394</v>
      </c>
    </row>
    <row r="123" spans="1:3" x14ac:dyDescent="0.3">
      <c r="A123" s="1">
        <v>45747</v>
      </c>
      <c r="B123" s="4">
        <v>2781</v>
      </c>
      <c r="C123" s="3">
        <f t="shared" si="0"/>
        <v>2549.3333333333335</v>
      </c>
    </row>
    <row r="124" spans="1:3" x14ac:dyDescent="0.3">
      <c r="A124" s="1">
        <v>45754</v>
      </c>
      <c r="B124" s="4">
        <v>3291</v>
      </c>
      <c r="C124" s="3">
        <f t="shared" si="0"/>
        <v>2917</v>
      </c>
    </row>
    <row r="125" spans="1:3" x14ac:dyDescent="0.3">
      <c r="A125" s="1">
        <v>45761</v>
      </c>
      <c r="B125" s="4">
        <v>3216</v>
      </c>
      <c r="C125" s="3">
        <f t="shared" si="0"/>
        <v>3096</v>
      </c>
    </row>
    <row r="126" spans="1:3" x14ac:dyDescent="0.3">
      <c r="A126" s="1">
        <v>45768</v>
      </c>
      <c r="B126" s="4">
        <v>1728</v>
      </c>
      <c r="C126" s="3">
        <f t="shared" si="0"/>
        <v>2745</v>
      </c>
    </row>
    <row r="127" spans="1:3" x14ac:dyDescent="0.3">
      <c r="A127" s="1">
        <v>45775</v>
      </c>
      <c r="B127" s="4">
        <v>2378</v>
      </c>
      <c r="C127" s="3">
        <f t="shared" si="0"/>
        <v>2440.6666666666665</v>
      </c>
    </row>
    <row r="128" spans="1:3" x14ac:dyDescent="0.3">
      <c r="A128" s="1">
        <v>45782</v>
      </c>
      <c r="B128" s="4">
        <v>2054</v>
      </c>
      <c r="C128" s="3">
        <f t="shared" si="0"/>
        <v>2053.3333333333335</v>
      </c>
    </row>
    <row r="129" spans="1:3" x14ac:dyDescent="0.3">
      <c r="A129" s="1">
        <v>45789</v>
      </c>
      <c r="B129" s="4">
        <v>1400</v>
      </c>
      <c r="C129" s="3">
        <f t="shared" si="0"/>
        <v>1944</v>
      </c>
    </row>
    <row r="130" spans="1:3" x14ac:dyDescent="0.3">
      <c r="A130" s="1">
        <v>45796</v>
      </c>
      <c r="B130" s="4">
        <v>3569</v>
      </c>
      <c r="C130" s="3">
        <f t="shared" si="0"/>
        <v>2341</v>
      </c>
    </row>
    <row r="131" spans="1:3" x14ac:dyDescent="0.3">
      <c r="A131" s="1">
        <v>45803</v>
      </c>
      <c r="B131" s="4">
        <v>2909</v>
      </c>
      <c r="C131" s="3">
        <f t="shared" si="0"/>
        <v>2626</v>
      </c>
    </row>
    <row r="132" spans="1:3" x14ac:dyDescent="0.3">
      <c r="A132" s="1">
        <v>45810</v>
      </c>
      <c r="B132" s="4">
        <v>2049</v>
      </c>
      <c r="C132" s="3">
        <f t="shared" si="0"/>
        <v>2842.3333333333335</v>
      </c>
    </row>
    <row r="133" spans="1:3" x14ac:dyDescent="0.3">
      <c r="A133" s="1">
        <v>45817</v>
      </c>
      <c r="B133" s="4">
        <v>2243</v>
      </c>
      <c r="C133" s="3">
        <f t="shared" si="0"/>
        <v>2400.3333333333335</v>
      </c>
    </row>
    <row r="134" spans="1:3" x14ac:dyDescent="0.3">
      <c r="A134" s="1">
        <v>45824</v>
      </c>
      <c r="B134" s="4">
        <v>2017</v>
      </c>
      <c r="C134" s="3">
        <f t="shared" si="0"/>
        <v>2103</v>
      </c>
    </row>
    <row r="135" spans="1:3" x14ac:dyDescent="0.3">
      <c r="A135" s="1">
        <v>45831</v>
      </c>
      <c r="B135" s="4">
        <v>1384</v>
      </c>
      <c r="C135" s="3">
        <f t="shared" si="0"/>
        <v>1881.3333333333333</v>
      </c>
    </row>
    <row r="136" spans="1:3" x14ac:dyDescent="0.3">
      <c r="A136" s="1">
        <v>45838</v>
      </c>
      <c r="B136" s="4">
        <v>2315</v>
      </c>
      <c r="C136" s="3">
        <f t="shared" si="0"/>
        <v>1905.3333333333333</v>
      </c>
    </row>
    <row r="137" spans="1:3" x14ac:dyDescent="0.3">
      <c r="A137" s="1">
        <v>45845</v>
      </c>
      <c r="B137" s="4">
        <v>2669</v>
      </c>
      <c r="C137" s="3">
        <f t="shared" si="0"/>
        <v>2122.6666666666665</v>
      </c>
    </row>
    <row r="138" spans="1:3" x14ac:dyDescent="0.3">
      <c r="A138" s="1">
        <v>45852</v>
      </c>
      <c r="B138" s="4">
        <v>2654</v>
      </c>
      <c r="C138" s="3">
        <f t="shared" si="0"/>
        <v>2546</v>
      </c>
    </row>
    <row r="139" spans="1:3" x14ac:dyDescent="0.3">
      <c r="A139" s="1">
        <v>45859</v>
      </c>
      <c r="B139" s="4">
        <v>2694</v>
      </c>
      <c r="C139" s="3">
        <f t="shared" si="0"/>
        <v>2672.3333333333335</v>
      </c>
    </row>
    <row r="140" spans="1:3" x14ac:dyDescent="0.3">
      <c r="A140" s="1">
        <v>45866</v>
      </c>
      <c r="B140" s="4">
        <v>3236</v>
      </c>
      <c r="C140" s="3">
        <f t="shared" si="0"/>
        <v>2861.3333333333335</v>
      </c>
    </row>
    <row r="141" spans="1:3" x14ac:dyDescent="0.3">
      <c r="A141" s="1">
        <v>45873</v>
      </c>
      <c r="B141" s="4">
        <v>1689</v>
      </c>
      <c r="C141" s="3">
        <f t="shared" si="0"/>
        <v>2539.6666666666665</v>
      </c>
    </row>
    <row r="142" spans="1:3" x14ac:dyDescent="0.3">
      <c r="A142" s="1">
        <v>45880</v>
      </c>
      <c r="B142" s="4">
        <v>2347</v>
      </c>
      <c r="C142" s="3">
        <f t="shared" si="0"/>
        <v>2424</v>
      </c>
    </row>
    <row r="143" spans="1:3" x14ac:dyDescent="0.3">
      <c r="A143" s="1">
        <v>45887</v>
      </c>
      <c r="B143" s="4">
        <v>1819</v>
      </c>
      <c r="C143" s="3">
        <f t="shared" si="0"/>
        <v>1951.6666666666667</v>
      </c>
    </row>
    <row r="144" spans="1:3" x14ac:dyDescent="0.3">
      <c r="A144" s="1">
        <v>45894</v>
      </c>
      <c r="B144" s="4">
        <v>2646</v>
      </c>
      <c r="C144" s="3">
        <f t="shared" si="0"/>
        <v>2270.6666666666665</v>
      </c>
    </row>
    <row r="145" spans="1:5" x14ac:dyDescent="0.3">
      <c r="A145" s="1">
        <v>45901</v>
      </c>
      <c r="B145" s="4">
        <v>1424</v>
      </c>
      <c r="C145" s="3">
        <f t="shared" si="0"/>
        <v>1963</v>
      </c>
    </row>
    <row r="146" spans="1:5" x14ac:dyDescent="0.3">
      <c r="A146" s="1">
        <v>45908</v>
      </c>
      <c r="B146" s="4">
        <v>1436</v>
      </c>
      <c r="C146" s="3">
        <f>AVERAGE(B144:B146)</f>
        <v>1835.3333333333333</v>
      </c>
    </row>
    <row r="147" spans="1:5" x14ac:dyDescent="0.3">
      <c r="A147" s="106" t="s">
        <v>346</v>
      </c>
      <c r="B147" s="107">
        <v>161588</v>
      </c>
      <c r="C147" s="108"/>
    </row>
    <row r="153" spans="1:5" ht="18" x14ac:dyDescent="0.35">
      <c r="A153" s="135" t="s">
        <v>387</v>
      </c>
      <c r="B153" s="135"/>
      <c r="C153" s="135"/>
    </row>
    <row r="154" spans="1:5" x14ac:dyDescent="0.3">
      <c r="A154" s="95" t="s">
        <v>339</v>
      </c>
      <c r="B154" s="95" t="s">
        <v>358</v>
      </c>
      <c r="C154" s="95" t="s">
        <v>384</v>
      </c>
    </row>
    <row r="155" spans="1:5" x14ac:dyDescent="0.3">
      <c r="A155" s="98">
        <v>45446</v>
      </c>
      <c r="B155" s="92">
        <v>53723</v>
      </c>
      <c r="C155" s="92">
        <v>3419</v>
      </c>
    </row>
    <row r="156" spans="1:5" x14ac:dyDescent="0.3">
      <c r="A156" s="98">
        <v>45453</v>
      </c>
      <c r="B156" s="92">
        <v>60293</v>
      </c>
      <c r="C156" s="92">
        <v>2777</v>
      </c>
    </row>
    <row r="157" spans="1:5" x14ac:dyDescent="0.3">
      <c r="A157" s="98">
        <v>45460</v>
      </c>
      <c r="B157" s="92">
        <v>51908</v>
      </c>
      <c r="C157" s="92">
        <v>3175</v>
      </c>
    </row>
    <row r="158" spans="1:5" x14ac:dyDescent="0.3">
      <c r="A158" s="98">
        <v>45467</v>
      </c>
      <c r="B158" s="92">
        <v>57474</v>
      </c>
      <c r="C158" s="92">
        <v>2433</v>
      </c>
    </row>
    <row r="159" spans="1:5" x14ac:dyDescent="0.3">
      <c r="A159" s="98">
        <v>45474</v>
      </c>
      <c r="B159" s="92">
        <v>52712</v>
      </c>
      <c r="C159" s="92">
        <v>2426</v>
      </c>
      <c r="E159" s="95" t="s">
        <v>388</v>
      </c>
    </row>
    <row r="160" spans="1:5" x14ac:dyDescent="0.3">
      <c r="A160" s="98">
        <v>45481</v>
      </c>
      <c r="B160" s="92">
        <v>42020</v>
      </c>
      <c r="C160" s="92">
        <v>3155</v>
      </c>
      <c r="E160" s="110">
        <f xml:space="preserve"> CORREL(B155:B221, C155:C221)</f>
        <v>0.1001175941200671</v>
      </c>
    </row>
    <row r="161" spans="1:3" x14ac:dyDescent="0.3">
      <c r="A161" s="98">
        <v>45488</v>
      </c>
      <c r="B161" s="92">
        <v>48627</v>
      </c>
      <c r="C161" s="92">
        <v>2369</v>
      </c>
    </row>
    <row r="162" spans="1:3" x14ac:dyDescent="0.3">
      <c r="A162" s="98">
        <v>45495</v>
      </c>
      <c r="B162" s="92">
        <v>48009</v>
      </c>
      <c r="C162" s="92">
        <v>2281</v>
      </c>
    </row>
    <row r="163" spans="1:3" x14ac:dyDescent="0.3">
      <c r="A163" s="98">
        <v>45502</v>
      </c>
      <c r="B163" s="92">
        <v>34912</v>
      </c>
      <c r="C163" s="92">
        <v>2132</v>
      </c>
    </row>
    <row r="164" spans="1:3" x14ac:dyDescent="0.3">
      <c r="A164" s="98">
        <v>45509</v>
      </c>
      <c r="B164" s="92">
        <v>45349</v>
      </c>
      <c r="C164" s="92">
        <v>2693</v>
      </c>
    </row>
    <row r="165" spans="1:3" x14ac:dyDescent="0.3">
      <c r="A165" s="98">
        <v>45516</v>
      </c>
      <c r="B165" s="92">
        <v>24209</v>
      </c>
      <c r="C165" s="92">
        <v>3072</v>
      </c>
    </row>
    <row r="166" spans="1:3" x14ac:dyDescent="0.3">
      <c r="A166" s="98">
        <v>45523</v>
      </c>
      <c r="B166" s="92">
        <v>52127</v>
      </c>
      <c r="C166" s="92">
        <v>2300</v>
      </c>
    </row>
    <row r="167" spans="1:3" x14ac:dyDescent="0.3">
      <c r="A167" s="98">
        <v>45530</v>
      </c>
      <c r="B167" s="92">
        <v>66319</v>
      </c>
      <c r="C167" s="92">
        <v>2450</v>
      </c>
    </row>
    <row r="168" spans="1:3" x14ac:dyDescent="0.3">
      <c r="A168" s="98">
        <v>45537</v>
      </c>
      <c r="B168" s="92">
        <v>55150</v>
      </c>
      <c r="C168" s="92">
        <v>2502</v>
      </c>
    </row>
    <row r="169" spans="1:3" x14ac:dyDescent="0.3">
      <c r="A169" s="98">
        <v>45544</v>
      </c>
      <c r="B169" s="92">
        <v>44141</v>
      </c>
      <c r="C169" s="92">
        <v>2630</v>
      </c>
    </row>
    <row r="170" spans="1:3" x14ac:dyDescent="0.3">
      <c r="A170" s="98">
        <v>45551</v>
      </c>
      <c r="B170" s="92">
        <v>51007</v>
      </c>
      <c r="C170" s="92">
        <v>2162</v>
      </c>
    </row>
    <row r="171" spans="1:3" x14ac:dyDescent="0.3">
      <c r="A171" s="98">
        <v>45558</v>
      </c>
      <c r="B171" s="92">
        <v>61088</v>
      </c>
      <c r="C171" s="92">
        <v>2785</v>
      </c>
    </row>
    <row r="172" spans="1:3" x14ac:dyDescent="0.3">
      <c r="A172" s="98">
        <v>45565</v>
      </c>
      <c r="B172" s="92">
        <v>47808</v>
      </c>
      <c r="C172" s="92">
        <v>3151</v>
      </c>
    </row>
    <row r="173" spans="1:3" x14ac:dyDescent="0.3">
      <c r="A173" s="98">
        <v>45572</v>
      </c>
      <c r="B173" s="92">
        <v>40791</v>
      </c>
      <c r="C173" s="92">
        <v>2338</v>
      </c>
    </row>
    <row r="174" spans="1:3" x14ac:dyDescent="0.3">
      <c r="A174" s="98">
        <v>45579</v>
      </c>
      <c r="B174" s="92">
        <v>42137</v>
      </c>
      <c r="C174" s="92">
        <v>2670</v>
      </c>
    </row>
    <row r="175" spans="1:3" x14ac:dyDescent="0.3">
      <c r="A175" s="98">
        <v>45586</v>
      </c>
      <c r="B175" s="92">
        <v>52390</v>
      </c>
      <c r="C175" s="92">
        <v>2792</v>
      </c>
    </row>
    <row r="176" spans="1:3" x14ac:dyDescent="0.3">
      <c r="A176" s="98">
        <v>45593</v>
      </c>
      <c r="B176" s="92">
        <v>75610</v>
      </c>
      <c r="C176" s="92">
        <v>2181</v>
      </c>
    </row>
    <row r="177" spans="1:3" x14ac:dyDescent="0.3">
      <c r="A177" s="98">
        <v>45600</v>
      </c>
      <c r="B177" s="92">
        <v>51694</v>
      </c>
      <c r="C177" s="92">
        <v>3576</v>
      </c>
    </row>
    <row r="178" spans="1:3" x14ac:dyDescent="0.3">
      <c r="A178" s="98">
        <v>45607</v>
      </c>
      <c r="B178" s="92">
        <v>51792</v>
      </c>
      <c r="C178" s="92">
        <v>2794</v>
      </c>
    </row>
    <row r="179" spans="1:3" x14ac:dyDescent="0.3">
      <c r="A179" s="98">
        <v>45614</v>
      </c>
      <c r="B179" s="92">
        <v>40181</v>
      </c>
      <c r="C179" s="92">
        <v>1935</v>
      </c>
    </row>
    <row r="180" spans="1:3" x14ac:dyDescent="0.3">
      <c r="A180" s="98">
        <v>45621</v>
      </c>
      <c r="B180" s="92">
        <v>35823</v>
      </c>
      <c r="C180" s="92">
        <v>2287</v>
      </c>
    </row>
    <row r="181" spans="1:3" x14ac:dyDescent="0.3">
      <c r="A181" s="98">
        <v>45628</v>
      </c>
      <c r="B181" s="92">
        <v>45124</v>
      </c>
      <c r="C181" s="92">
        <v>2383</v>
      </c>
    </row>
    <row r="182" spans="1:3" x14ac:dyDescent="0.3">
      <c r="A182" s="98">
        <v>45635</v>
      </c>
      <c r="B182" s="92">
        <v>59678</v>
      </c>
      <c r="C182" s="92">
        <v>1398</v>
      </c>
    </row>
    <row r="183" spans="1:3" x14ac:dyDescent="0.3">
      <c r="A183" s="98">
        <v>45642</v>
      </c>
      <c r="B183" s="92">
        <v>51493</v>
      </c>
      <c r="C183" s="92">
        <v>2693</v>
      </c>
    </row>
    <row r="184" spans="1:3" x14ac:dyDescent="0.3">
      <c r="A184" s="98">
        <v>45649</v>
      </c>
      <c r="B184" s="92">
        <v>42747</v>
      </c>
      <c r="C184" s="92">
        <v>2550</v>
      </c>
    </row>
    <row r="185" spans="1:3" x14ac:dyDescent="0.3">
      <c r="A185" s="98">
        <v>45656</v>
      </c>
      <c r="B185" s="92">
        <v>44785</v>
      </c>
      <c r="C185" s="92">
        <v>2337</v>
      </c>
    </row>
    <row r="186" spans="1:3" x14ac:dyDescent="0.3">
      <c r="A186" s="98">
        <v>45663</v>
      </c>
      <c r="B186" s="92">
        <v>34533</v>
      </c>
      <c r="C186" s="92">
        <v>2451</v>
      </c>
    </row>
    <row r="187" spans="1:3" x14ac:dyDescent="0.3">
      <c r="A187" s="98">
        <v>45670</v>
      </c>
      <c r="B187" s="92">
        <v>27644</v>
      </c>
      <c r="C187" s="92">
        <v>2341</v>
      </c>
    </row>
    <row r="188" spans="1:3" x14ac:dyDescent="0.3">
      <c r="A188" s="98">
        <v>45677</v>
      </c>
      <c r="B188" s="92">
        <v>42348</v>
      </c>
      <c r="C188" s="92">
        <v>1832</v>
      </c>
    </row>
    <row r="189" spans="1:3" x14ac:dyDescent="0.3">
      <c r="A189" s="98">
        <v>45684</v>
      </c>
      <c r="B189" s="92">
        <v>37127</v>
      </c>
      <c r="C189" s="92">
        <v>1928</v>
      </c>
    </row>
    <row r="190" spans="1:3" x14ac:dyDescent="0.3">
      <c r="A190" s="98">
        <v>45691</v>
      </c>
      <c r="B190" s="92">
        <v>56414</v>
      </c>
      <c r="C190" s="92">
        <v>1680</v>
      </c>
    </row>
    <row r="191" spans="1:3" x14ac:dyDescent="0.3">
      <c r="A191" s="98">
        <v>45698</v>
      </c>
      <c r="B191" s="92">
        <v>37927</v>
      </c>
      <c r="C191" s="92">
        <v>2361</v>
      </c>
    </row>
    <row r="192" spans="1:3" x14ac:dyDescent="0.3">
      <c r="A192" s="98">
        <v>45705</v>
      </c>
      <c r="B192" s="92">
        <v>43741</v>
      </c>
      <c r="C192" s="92">
        <v>1543</v>
      </c>
    </row>
    <row r="193" spans="1:3" x14ac:dyDescent="0.3">
      <c r="A193" s="98">
        <v>45712</v>
      </c>
      <c r="B193" s="92">
        <v>57395</v>
      </c>
      <c r="C193" s="92">
        <v>1713</v>
      </c>
    </row>
    <row r="194" spans="1:3" x14ac:dyDescent="0.3">
      <c r="A194" s="98">
        <v>45719</v>
      </c>
      <c r="B194" s="92">
        <v>54434</v>
      </c>
      <c r="C194" s="92">
        <v>2763</v>
      </c>
    </row>
    <row r="195" spans="1:3" x14ac:dyDescent="0.3">
      <c r="A195" s="98">
        <v>45726</v>
      </c>
      <c r="B195" s="92">
        <v>59353</v>
      </c>
      <c r="C195" s="92">
        <v>2315</v>
      </c>
    </row>
    <row r="196" spans="1:3" x14ac:dyDescent="0.3">
      <c r="A196" s="98">
        <v>45733</v>
      </c>
      <c r="B196" s="92">
        <v>36312</v>
      </c>
      <c r="C196" s="92">
        <v>2188</v>
      </c>
    </row>
    <row r="197" spans="1:3" x14ac:dyDescent="0.3">
      <c r="A197" s="98">
        <v>45740</v>
      </c>
      <c r="B197" s="92">
        <v>44995</v>
      </c>
      <c r="C197" s="92">
        <v>2679</v>
      </c>
    </row>
    <row r="198" spans="1:3" x14ac:dyDescent="0.3">
      <c r="A198" s="98">
        <v>45747</v>
      </c>
      <c r="B198" s="92">
        <v>51236</v>
      </c>
      <c r="C198" s="92">
        <v>2781</v>
      </c>
    </row>
    <row r="199" spans="1:3" x14ac:dyDescent="0.3">
      <c r="A199" s="98">
        <v>45754</v>
      </c>
      <c r="B199" s="92">
        <v>54066</v>
      </c>
      <c r="C199" s="92">
        <v>3291</v>
      </c>
    </row>
    <row r="200" spans="1:3" x14ac:dyDescent="0.3">
      <c r="A200" s="98">
        <v>45761</v>
      </c>
      <c r="B200" s="92">
        <v>78882</v>
      </c>
      <c r="C200" s="92">
        <v>3216</v>
      </c>
    </row>
    <row r="201" spans="1:3" x14ac:dyDescent="0.3">
      <c r="A201" s="98">
        <v>45768</v>
      </c>
      <c r="B201" s="92">
        <v>60429</v>
      </c>
      <c r="C201" s="92">
        <v>1728</v>
      </c>
    </row>
    <row r="202" spans="1:3" x14ac:dyDescent="0.3">
      <c r="A202" s="98">
        <v>45775</v>
      </c>
      <c r="B202" s="92">
        <v>49246</v>
      </c>
      <c r="C202" s="92">
        <v>2378</v>
      </c>
    </row>
    <row r="203" spans="1:3" x14ac:dyDescent="0.3">
      <c r="A203" s="98">
        <v>45782</v>
      </c>
      <c r="B203" s="92">
        <v>34913</v>
      </c>
      <c r="C203" s="92">
        <v>2054</v>
      </c>
    </row>
    <row r="204" spans="1:3" x14ac:dyDescent="0.3">
      <c r="A204" s="98">
        <v>45789</v>
      </c>
      <c r="B204" s="92">
        <v>57847</v>
      </c>
      <c r="C204" s="92">
        <v>1400</v>
      </c>
    </row>
    <row r="205" spans="1:3" x14ac:dyDescent="0.3">
      <c r="A205" s="98">
        <v>45796</v>
      </c>
      <c r="B205" s="92">
        <v>49692</v>
      </c>
      <c r="C205" s="92">
        <v>3569</v>
      </c>
    </row>
    <row r="206" spans="1:3" x14ac:dyDescent="0.3">
      <c r="A206" s="98">
        <v>45803</v>
      </c>
      <c r="B206" s="92">
        <v>48399</v>
      </c>
      <c r="C206" s="92">
        <v>2909</v>
      </c>
    </row>
    <row r="207" spans="1:3" x14ac:dyDescent="0.3">
      <c r="A207" s="98">
        <v>45810</v>
      </c>
      <c r="B207" s="92">
        <v>39516</v>
      </c>
      <c r="C207" s="92">
        <v>2049</v>
      </c>
    </row>
    <row r="208" spans="1:3" x14ac:dyDescent="0.3">
      <c r="A208" s="98">
        <v>45817</v>
      </c>
      <c r="B208" s="92">
        <v>40484</v>
      </c>
      <c r="C208" s="92">
        <v>2243</v>
      </c>
    </row>
    <row r="209" spans="1:3" x14ac:dyDescent="0.3">
      <c r="A209" s="98">
        <v>45824</v>
      </c>
      <c r="B209" s="92">
        <v>38906</v>
      </c>
      <c r="C209" s="92">
        <v>2017</v>
      </c>
    </row>
    <row r="210" spans="1:3" x14ac:dyDescent="0.3">
      <c r="A210" s="98">
        <v>45831</v>
      </c>
      <c r="B210" s="92">
        <v>63317</v>
      </c>
      <c r="C210" s="92">
        <v>1384</v>
      </c>
    </row>
    <row r="211" spans="1:3" x14ac:dyDescent="0.3">
      <c r="A211" s="98">
        <v>45838</v>
      </c>
      <c r="B211" s="92">
        <v>57969</v>
      </c>
      <c r="C211" s="92">
        <v>2315</v>
      </c>
    </row>
    <row r="212" spans="1:3" x14ac:dyDescent="0.3">
      <c r="A212" s="98">
        <v>45845</v>
      </c>
      <c r="B212" s="92">
        <v>32182</v>
      </c>
      <c r="C212" s="92">
        <v>2669</v>
      </c>
    </row>
    <row r="213" spans="1:3" x14ac:dyDescent="0.3">
      <c r="A213" s="98">
        <v>45852</v>
      </c>
      <c r="B213" s="92">
        <v>40815</v>
      </c>
      <c r="C213" s="92">
        <v>2654</v>
      </c>
    </row>
    <row r="214" spans="1:3" x14ac:dyDescent="0.3">
      <c r="A214" s="98">
        <v>45859</v>
      </c>
      <c r="B214" s="92">
        <v>52043</v>
      </c>
      <c r="C214" s="92">
        <v>2694</v>
      </c>
    </row>
    <row r="215" spans="1:3" x14ac:dyDescent="0.3">
      <c r="A215" s="98">
        <v>45866</v>
      </c>
      <c r="B215" s="92">
        <v>59271</v>
      </c>
      <c r="C215" s="92">
        <v>3236</v>
      </c>
    </row>
    <row r="216" spans="1:3" x14ac:dyDescent="0.3">
      <c r="A216" s="98">
        <v>45873</v>
      </c>
      <c r="B216" s="92">
        <v>48774</v>
      </c>
      <c r="C216" s="92">
        <v>1689</v>
      </c>
    </row>
    <row r="217" spans="1:3" x14ac:dyDescent="0.3">
      <c r="A217" s="98">
        <v>45880</v>
      </c>
      <c r="B217" s="92">
        <v>37461</v>
      </c>
      <c r="C217" s="92">
        <v>2347</v>
      </c>
    </row>
    <row r="218" spans="1:3" x14ac:dyDescent="0.3">
      <c r="A218" s="98">
        <v>45887</v>
      </c>
      <c r="B218" s="92">
        <v>52726</v>
      </c>
      <c r="C218" s="92">
        <v>1819</v>
      </c>
    </row>
    <row r="219" spans="1:3" x14ac:dyDescent="0.3">
      <c r="A219" s="98">
        <v>45894</v>
      </c>
      <c r="B219" s="92">
        <v>39009</v>
      </c>
      <c r="C219" s="92">
        <v>2646</v>
      </c>
    </row>
    <row r="220" spans="1:3" x14ac:dyDescent="0.3">
      <c r="A220" s="98">
        <v>45901</v>
      </c>
      <c r="B220" s="92">
        <v>46102</v>
      </c>
      <c r="C220" s="92">
        <v>1424</v>
      </c>
    </row>
    <row r="221" spans="1:3" x14ac:dyDescent="0.3">
      <c r="A221" s="98">
        <v>45908</v>
      </c>
      <c r="B221" s="92">
        <v>19299</v>
      </c>
      <c r="C221" s="92">
        <v>1436</v>
      </c>
    </row>
    <row r="222" spans="1:3" x14ac:dyDescent="0.3">
      <c r="A222" s="109" t="s">
        <v>346</v>
      </c>
      <c r="B222" s="93">
        <v>3215928</v>
      </c>
      <c r="C222" s="93">
        <v>161588</v>
      </c>
    </row>
  </sheetData>
  <sortState xmlns:xlrd2="http://schemas.microsoft.com/office/spreadsheetml/2017/richdata2" ref="A80:B147">
    <sortCondition ref="A80:A147"/>
  </sortState>
  <mergeCells count="3">
    <mergeCell ref="A2:B2"/>
    <mergeCell ref="A153:C153"/>
    <mergeCell ref="A78:C78"/>
  </mergeCells>
  <conditionalFormatting sqref="A4:B70">
    <cfRule type="expression" dxfId="0" priority="1">
      <formula xml:space="preserve"> $B4 =MAX($B$3:$B$70)</formula>
    </cfRule>
  </conditionalFormatting>
  <pageMargins left="0.7" right="0.7" top="0.75" bottom="0.75" header="0.3" footer="0.3"/>
  <ignoredErrors>
    <ignoredError sqref="C91 C83:C90 C92:C93 C94:C112 C141 C113:C140 C142:C145" formulaRange="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5291DA-331D-40B6-AE10-711D2C7B34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Posts</vt:lpstr>
      <vt:lpstr>Engagement Summary</vt:lpstr>
      <vt:lpstr>Campaign Metadata</vt:lpstr>
      <vt:lpstr>Hashtag_Master</vt:lpstr>
      <vt:lpstr>Task_2_Analysis</vt:lpstr>
      <vt:lpstr>Task_2_Engagement_Rate</vt:lpstr>
      <vt:lpstr>All_Task_3_Analysis</vt:lpstr>
      <vt:lpstr>All_Task_4_Analysis</vt:lpstr>
      <vt:lpstr>All_Task_5_Analysis</vt:lpstr>
      <vt:lpstr>All_Task_6_Analysis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Srivastav</dc:creator>
  <cp:lastModifiedBy>Harsh Srivastav</cp:lastModifiedBy>
  <cp:lastPrinted>2026-02-13T18:47:31Z</cp:lastPrinted>
  <dcterms:created xsi:type="dcterms:W3CDTF">2026-02-09T08:13:24Z</dcterms:created>
  <dcterms:modified xsi:type="dcterms:W3CDTF">2026-02-20T18:23:17Z</dcterms:modified>
</cp:coreProperties>
</file>